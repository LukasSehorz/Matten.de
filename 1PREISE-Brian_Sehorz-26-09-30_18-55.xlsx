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0" yWindow="0" windowWidth="25600" windowHeight="15520" tabRatio="500"/>
  </bookViews>
  <sheets>
    <sheet name="Blatt1" sheetId="1" r:id="rId1"/>
  </sheets>
  <calcPr calcId="140001" concurrentCalc="0"/>
  <extLs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P5" i="1"/>
  <c r="D4" i="1"/>
  <c r="E6" i="1"/>
  <c r="C2" i="1"/>
  <c r="S2" i="1"/>
  <c r="L5" i="1"/>
  <c r="O5" i="1"/>
  <c r="G5" i="1"/>
  <c r="F5" i="1"/>
  <c r="M5" i="1"/>
  <c r="P6" i="1"/>
  <c r="D6" i="1"/>
  <c r="BE2" i="1"/>
  <c r="AS7" i="1"/>
  <c r="AQ7" i="1"/>
  <c r="AR7" i="1"/>
  <c r="AP7" i="1"/>
  <c r="AM7" i="1"/>
  <c r="AQ4" i="1"/>
  <c r="AR4" i="1"/>
  <c r="AS6" i="1"/>
  <c r="AQ6" i="1"/>
  <c r="AR6" i="1"/>
  <c r="AP6" i="1"/>
  <c r="AM6" i="1"/>
  <c r="AQ3" i="1"/>
  <c r="AR3" i="1"/>
  <c r="BP5" i="1"/>
  <c r="BQ5" i="1"/>
  <c r="BN5" i="1"/>
  <c r="BO5" i="1"/>
  <c r="BL5" i="1"/>
  <c r="BM5" i="1"/>
  <c r="BJ5" i="1"/>
  <c r="BK5" i="1"/>
  <c r="BH5" i="1"/>
  <c r="BI5" i="1"/>
  <c r="BF5" i="1"/>
  <c r="BG5" i="1"/>
  <c r="BA5" i="1"/>
  <c r="AS5" i="1"/>
  <c r="AQ5" i="1"/>
  <c r="AR5" i="1"/>
  <c r="AP5" i="1"/>
  <c r="AM5" i="1"/>
  <c r="AN5" i="1"/>
  <c r="AQ2" i="1"/>
  <c r="AR2" i="1"/>
  <c r="BP4" i="1"/>
  <c r="BQ4" i="1"/>
  <c r="BN4" i="1"/>
  <c r="BO4" i="1"/>
  <c r="BL4" i="1"/>
  <c r="BM4" i="1"/>
  <c r="BJ4" i="1"/>
  <c r="BK4" i="1"/>
  <c r="BH4" i="1"/>
  <c r="BI4" i="1"/>
  <c r="BF4" i="1"/>
  <c r="BG4" i="1"/>
  <c r="BA4" i="1"/>
  <c r="AS4" i="1"/>
  <c r="AP4" i="1"/>
  <c r="AM4" i="1"/>
  <c r="AN4" i="1"/>
  <c r="AQ1" i="1"/>
  <c r="AR1" i="1"/>
  <c r="BW3" i="1"/>
  <c r="BP3" i="1"/>
  <c r="BQ3" i="1"/>
  <c r="BN3" i="1"/>
  <c r="BO3" i="1"/>
  <c r="BL3" i="1"/>
  <c r="BM3" i="1"/>
  <c r="BJ3" i="1"/>
  <c r="BK3" i="1"/>
  <c r="BH3" i="1"/>
  <c r="BI3" i="1"/>
  <c r="BF3" i="1"/>
  <c r="BG3" i="1"/>
  <c r="BA3" i="1"/>
  <c r="AS3" i="1"/>
  <c r="AM3" i="1"/>
  <c r="AN3" i="1"/>
  <c r="BW2" i="1"/>
  <c r="BP2" i="1"/>
  <c r="BQ2" i="1"/>
  <c r="BN2" i="1"/>
  <c r="BO2" i="1"/>
  <c r="BL2" i="1"/>
  <c r="BM2" i="1"/>
  <c r="BJ2" i="1"/>
  <c r="BK2" i="1"/>
  <c r="BH2" i="1"/>
  <c r="BI2" i="1"/>
  <c r="BF2" i="1"/>
  <c r="BG2" i="1"/>
  <c r="BA2" i="1"/>
  <c r="AS2" i="1"/>
  <c r="BX1" i="1"/>
  <c r="BW1" i="1"/>
  <c r="BP1" i="1"/>
  <c r="BQ1" i="1"/>
  <c r="BN1" i="1"/>
  <c r="BO1" i="1"/>
  <c r="BL1" i="1"/>
  <c r="BM1" i="1"/>
  <c r="BJ1" i="1"/>
  <c r="BK1" i="1"/>
  <c r="BH1" i="1"/>
  <c r="BI1" i="1"/>
  <c r="BF1" i="1"/>
  <c r="BG1" i="1"/>
  <c r="BA1" i="1"/>
  <c r="AS1" i="1"/>
  <c r="AL1" i="1"/>
  <c r="BE5" i="1"/>
  <c r="BE4" i="1"/>
  <c r="BE3" i="1"/>
  <c r="BE1" i="1"/>
  <c r="AN7" i="1"/>
  <c r="AN6" i="1"/>
  <c r="J5" i="1"/>
  <c r="H5" i="1"/>
  <c r="K5" i="1"/>
  <c r="I5" i="1"/>
</calcChain>
</file>

<file path=xl/sharedStrings.xml><?xml version="1.0" encoding="utf-8"?>
<sst xmlns="http://schemas.openxmlformats.org/spreadsheetml/2006/main" count="201" uniqueCount="130">
  <si>
    <t>1=</t>
  </si>
  <si>
    <t>2=</t>
  </si>
  <si>
    <t>3=</t>
  </si>
  <si>
    <t>ped-print</t>
  </si>
  <si>
    <t>EK</t>
  </si>
  <si>
    <t>VK TZ</t>
  </si>
  <si>
    <t>VK/qm</t>
  </si>
  <si>
    <t>EK  TZ</t>
  </si>
  <si>
    <t>Rundg-Schräge</t>
  </si>
  <si>
    <t>TZ  %</t>
  </si>
  <si>
    <t>ab 01.04.2022</t>
  </si>
  <si>
    <t>B</t>
  </si>
  <si>
    <t>L</t>
  </si>
  <si>
    <t>qm</t>
  </si>
  <si>
    <t>VK kalk</t>
  </si>
  <si>
    <t>VK/Shop</t>
  </si>
  <si>
    <t>Diff</t>
  </si>
  <si>
    <t>Plaza</t>
  </si>
  <si>
    <t>Aussparungen</t>
  </si>
  <si>
    <t>Produkt</t>
  </si>
  <si>
    <t>VK/stk</t>
  </si>
  <si>
    <t>gesEK nto</t>
  </si>
  <si>
    <t xml:space="preserve"> </t>
  </si>
  <si>
    <t>Euro</t>
  </si>
  <si>
    <t>JetPrint</t>
  </si>
  <si>
    <t>MJPRNT</t>
  </si>
  <si>
    <t>length cm</t>
  </si>
  <si>
    <t>Quantity</t>
  </si>
  <si>
    <t>max.length</t>
  </si>
  <si>
    <t>min.width</t>
  </si>
  <si>
    <t>width cm</t>
  </si>
  <si>
    <t>more colors</t>
  </si>
  <si>
    <t>one-color</t>
  </si>
  <si>
    <t>Standard-width</t>
  </si>
  <si>
    <t>staggered quantity</t>
  </si>
  <si>
    <t>no border 30%</t>
  </si>
  <si>
    <t>with border 50%</t>
  </si>
  <si>
    <t>Specialform = X</t>
  </si>
  <si>
    <t>f=salesfactor</t>
  </si>
  <si>
    <t>back</t>
  </si>
  <si>
    <t>KTA-Mats</t>
  </si>
  <si>
    <t>staggered prices / sqm</t>
  </si>
  <si>
    <t>Color-type</t>
  </si>
  <si>
    <t>gesEK Stk</t>
  </si>
  <si>
    <t>total sqm</t>
  </si>
  <si>
    <t>sqm / pc</t>
  </si>
  <si>
    <t>I5</t>
  </si>
  <si>
    <t>J5</t>
  </si>
  <si>
    <t>C2</t>
  </si>
  <si>
    <t>F1, I1, L1</t>
  </si>
  <si>
    <t xml:space="preserve">F2 </t>
  </si>
  <si>
    <t>B4 und C4</t>
  </si>
  <si>
    <t>E4</t>
  </si>
  <si>
    <t>N3 oder O3</t>
  </si>
  <si>
    <t xml:space="preserve">"X"-Eingabe vom Kunden bei Anfrage bei Sonderfarbe </t>
  </si>
  <si>
    <t>"X"-Eingabe vom Kunden bei Anfrage, bei Sonderform mit oder ohne Rand</t>
  </si>
  <si>
    <t>B6, C6</t>
  </si>
  <si>
    <t>Diff VK/EK</t>
  </si>
  <si>
    <t>Faktor:  Special- width</t>
  </si>
  <si>
    <t xml:space="preserve">P4 bis P6 bis </t>
  </si>
  <si>
    <t>VK ges</t>
  </si>
  <si>
    <t>Euro/sqm</t>
  </si>
  <si>
    <t>Faktor:  Special- length</t>
  </si>
  <si>
    <t>D6</t>
  </si>
  <si>
    <t>Gesamt Matten qm</t>
  </si>
  <si>
    <t>50,-€/68,-€</t>
  </si>
  <si>
    <t>Specialcolor</t>
  </si>
  <si>
    <t>Listenpr./Stk</t>
  </si>
  <si>
    <t>E6</t>
  </si>
  <si>
    <t>Q5</t>
  </si>
  <si>
    <t>G5</t>
  </si>
  <si>
    <t>P5, P6</t>
  </si>
  <si>
    <t>P3</t>
  </si>
  <si>
    <t>Aufschlag für Sonderfarbe wird bei Artikelanlage vorgegeben</t>
  </si>
  <si>
    <t>Salesfactor je nach Mattenart - Artikelstammdaten der Matte</t>
  </si>
  <si>
    <t>Eingabe des Colortypes  - Artikelstammdaten der Matte</t>
  </si>
  <si>
    <t>Einkaufspreis per qm  - Artikelstammdaten der Matte</t>
  </si>
  <si>
    <t>Standardmaße der Matten   - Artikelstammdaten der Matte</t>
  </si>
  <si>
    <t>Einkaufspreis pro qm = errechnet aus Größe, Standardmaßen oder Sondermaßen</t>
  </si>
  <si>
    <t>Einkaufspreis pro Stück= errechnet aus Größe, Standardmaßen oder Sondermaßen</t>
  </si>
  <si>
    <t>R5 bis W5</t>
  </si>
  <si>
    <t>Rabattfaktor abhängig von Menge - Artikelstammdaten der Matte</t>
  </si>
  <si>
    <t>Q7 bis V7</t>
  </si>
  <si>
    <t xml:space="preserve">Menge wird vom Kunden bei der Anfrage angegeben </t>
  </si>
  <si>
    <t>errechneter Listenpreis für eingegebene Menge</t>
  </si>
  <si>
    <t>F5</t>
  </si>
  <si>
    <t>errechneter Verkaufspreis für eingegebene Menge</t>
  </si>
  <si>
    <t>H5</t>
  </si>
  <si>
    <t>errechneter Gesamteinkaufsspreis für eingegebene Menge</t>
  </si>
  <si>
    <t>errechneter Einkaufsspreis pro Stück</t>
  </si>
  <si>
    <t>errechneter Einkaufsspreis per qm</t>
  </si>
  <si>
    <t>VK und EK-Aufpreise pro Artikelart für Sonderfarben</t>
  </si>
  <si>
    <t>N5 oder O5</t>
  </si>
  <si>
    <t>Anzeige des Aufschlagfaktors nach "X" in N3 oder O3</t>
  </si>
  <si>
    <t>Salesfactoren je Colortype = Mattenqualität, wird bei der Artikelanlage vorgegeben</t>
  </si>
  <si>
    <t>A6</t>
  </si>
  <si>
    <t xml:space="preserve">Lieferanten-Artikelbezeichnng </t>
  </si>
  <si>
    <t>A5</t>
  </si>
  <si>
    <t>Artikeltyp</t>
  </si>
  <si>
    <t>Minimalbreite und Maximal-Länge - Artikelstammdaten der Matte</t>
  </si>
  <si>
    <t>Salesfactor abhängig vom Colortype 1 oder 2 oder 3 in F2 - Artikelstammdaten der Matte</t>
  </si>
  <si>
    <t>D1, G1 oder J1</t>
  </si>
  <si>
    <t>Einkaufs-Listenpreis pro qm, vom Lieferanten</t>
  </si>
  <si>
    <t>Mattenmaße in cm, werden vom Kunden bei der Anfrage eingegeben</t>
  </si>
  <si>
    <t>errechneter Verkaufspreis pro Stück</t>
  </si>
  <si>
    <t>Supplier's item description</t>
  </si>
  <si>
    <t>Minimum width and maximum length - master data for the mat</t>
  </si>
  <si>
    <t>Sales factor depending on color type 1, 2, or 3 in F2 - item master data of the mat</t>
  </si>
  <si>
    <t>Sales factor depending on mat type - item master data of the mat</t>
  </si>
  <si>
    <t>Sales factors per color type = mat quality, are specified during product setup</t>
  </si>
  <si>
    <t>Entering the color type - master data for the mat</t>
  </si>
  <si>
    <t>Purchase price per square meter - Item master data of the mat</t>
  </si>
  <si>
    <t>Purchase price per piece = calculated from size, standard dimensions or special dimensions</t>
  </si>
  <si>
    <t>The surcharge for special color is specified when the item is created.</t>
  </si>
  <si>
    <t>Purchase list price per square meter, from the supplier</t>
  </si>
  <si>
    <t>Discount factor depends on quantity - item master data of the mat</t>
  </si>
  <si>
    <t>Purchase price per square meter = calculated from size, standard- or special dimensions</t>
  </si>
  <si>
    <t>Mat dimensions in cm are entered by the customer during the inquiry.</t>
  </si>
  <si>
    <t>Total mats (sqm)</t>
  </si>
  <si>
    <t>Quantity is specified by the customer in the inquiry.</t>
  </si>
  <si>
    <t>Calculated list price for entered quantity</t>
  </si>
  <si>
    <t>Calculated selling price for entered quantity</t>
  </si>
  <si>
    <t>calculated selling price per unit</t>
  </si>
  <si>
    <t>Calculated total purchase price for entered quantity</t>
  </si>
  <si>
    <t>calculated purchase price per unit</t>
  </si>
  <si>
    <t>calculated purchase price per square meter</t>
  </si>
  <si>
    <t>X entry by the customer upon request, for special shapes with or without borders</t>
  </si>
  <si>
    <t>X entry from the customer when requesting a special color</t>
  </si>
  <si>
    <t>Retail and purchase price surcharges per item type for special colors</t>
  </si>
  <si>
    <t>Display of the markup factor after "X" in N3 or 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</si>
</sst>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21" x14ac:knownFonts="1">
    <font>
      <sz val="12"/>
      <color theme="1"/>
      <name val="Calibri"/>
      <family val="2"/>
      <scheme val="minor"/>
    </font>
    <font>
      <u/>
      <sz val="10"/>
      <color indexed="12"/>
      <name val="Arial"/>
      <family val="2"/>
    </font>
    <font>
      <u/>
      <sz val="20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8"/>
      <color indexed="8"/>
      <name val="Arial"/>
      <family val="2"/>
    </font>
    <font>
      <sz val="18"/>
      <name val="Arial"/>
      <family val="2"/>
    </font>
    <font>
      <sz val="12"/>
      <name val="Verdana"/>
      <family val="2"/>
    </font>
    <font>
      <sz val="18"/>
      <color indexed="8"/>
      <name val="Lucida Grande"/>
      <family val="2"/>
    </font>
    <font>
      <sz val="18"/>
      <color rgb="FFFF0000"/>
      <name val="Arial"/>
      <family val="2"/>
    </font>
    <font>
      <sz val="14"/>
      <color indexed="8"/>
      <name val="Arial"/>
      <family val="2"/>
    </font>
    <font>
      <sz val="16"/>
      <color indexed="8"/>
      <name val="Arial"/>
      <family val="2"/>
    </font>
    <font>
      <sz val="18"/>
      <color indexed="10"/>
      <name val="Arial"/>
      <family val="2"/>
    </font>
    <font>
      <u/>
      <sz val="12"/>
      <color theme="11"/>
      <name val="Calibri"/>
      <family val="2"/>
      <scheme val="minor"/>
    </font>
    <font>
      <sz val="20"/>
      <name val="Arial"/>
      <family val="2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5"/>
      <name val="Arial"/>
      <family val="2"/>
    </font>
    <font>
      <sz val="18"/>
      <color rgb="FFFF0000"/>
      <name val="Calibri"/>
      <family val="2"/>
      <scheme val="minor"/>
    </font>
    <font>
      <sz val="18"/>
      <color theme="1"/>
      <name val="Arial"/>
      <family val="2"/>
    </font>
    <font>
      <sz val="18"/>
      <color rgb="FF00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3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B690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58C"/>
        <bgColor rgb="FF000000"/>
      </patternFill>
    </fill>
    <fill>
      <patternFill patternType="solid">
        <fgColor rgb="FFFFFF75"/>
        <bgColor indexed="64"/>
      </patternFill>
    </fill>
    <fill>
      <patternFill patternType="solid">
        <fgColor rgb="FFFFFF8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8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B7FFFF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66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1">
    <xf numFmtId="0" fontId="0" fillId="0" borderId="0" xfId="0"/>
    <xf numFmtId="0" fontId="2" fillId="2" borderId="0" xfId="1" applyFont="1" applyFill="1" applyAlignment="1" applyProtection="1">
      <alignment horizontal="center"/>
    </xf>
    <xf numFmtId="0" fontId="6" fillId="0" borderId="3" xfId="0" applyFont="1" applyBorder="1" applyAlignment="1">
      <alignment horizontal="center"/>
    </xf>
    <xf numFmtId="2" fontId="6" fillId="3" borderId="5" xfId="0" applyNumberFormat="1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2" fontId="6" fillId="5" borderId="8" xfId="0" applyNumberFormat="1" applyFont="1" applyFill="1" applyBorder="1" applyAlignment="1">
      <alignment horizontal="center"/>
    </xf>
    <xf numFmtId="2" fontId="6" fillId="7" borderId="9" xfId="0" applyNumberFormat="1" applyFont="1" applyFill="1" applyBorder="1" applyAlignment="1">
      <alignment horizontal="center"/>
    </xf>
    <xf numFmtId="2" fontId="6" fillId="3" borderId="10" xfId="0" applyNumberFormat="1" applyFont="1" applyFill="1" applyBorder="1"/>
    <xf numFmtId="0" fontId="6" fillId="0" borderId="0" xfId="0" applyFont="1"/>
    <xf numFmtId="4" fontId="7" fillId="0" borderId="0" xfId="0" applyNumberFormat="1" applyFont="1" applyAlignment="1">
      <alignment horizontal="right"/>
    </xf>
    <xf numFmtId="0" fontId="6" fillId="0" borderId="11" xfId="0" applyFont="1" applyBorder="1"/>
    <xf numFmtId="0" fontId="6" fillId="0" borderId="8" xfId="0" applyFont="1" applyBorder="1" applyAlignment="1">
      <alignment horizontal="center"/>
    </xf>
    <xf numFmtId="2" fontId="6" fillId="8" borderId="8" xfId="0" applyNumberFormat="1" applyFont="1" applyFill="1" applyBorder="1"/>
    <xf numFmtId="2" fontId="6" fillId="9" borderId="8" xfId="0" applyNumberFormat="1" applyFont="1" applyFill="1" applyBorder="1" applyAlignment="1">
      <alignment horizontal="center"/>
    </xf>
    <xf numFmtId="2" fontId="6" fillId="7" borderId="0" xfId="0" applyNumberFormat="1" applyFont="1" applyFill="1" applyAlignment="1">
      <alignment horizontal="center"/>
    </xf>
    <xf numFmtId="0" fontId="6" fillId="0" borderId="8" xfId="0" applyFont="1" applyBorder="1" applyAlignment="1">
      <alignment horizontal="center" vertical="center"/>
    </xf>
    <xf numFmtId="2" fontId="6" fillId="7" borderId="12" xfId="0" applyNumberFormat="1" applyFont="1" applyFill="1" applyBorder="1" applyAlignment="1">
      <alignment horizontal="center"/>
    </xf>
    <xf numFmtId="2" fontId="6" fillId="5" borderId="12" xfId="0" applyNumberFormat="1" applyFont="1" applyFill="1" applyBorder="1" applyAlignment="1">
      <alignment horizontal="center"/>
    </xf>
    <xf numFmtId="2" fontId="6" fillId="8" borderId="12" xfId="0" applyNumberFormat="1" applyFont="1" applyFill="1" applyBorder="1" applyAlignment="1">
      <alignment horizontal="center"/>
    </xf>
    <xf numFmtId="2" fontId="6" fillId="10" borderId="12" xfId="0" applyNumberFormat="1" applyFont="1" applyFill="1" applyBorder="1" applyAlignment="1">
      <alignment horizontal="center"/>
    </xf>
    <xf numFmtId="2" fontId="6" fillId="10" borderId="8" xfId="0" applyNumberFormat="1" applyFont="1" applyFill="1" applyBorder="1" applyAlignment="1">
      <alignment horizontal="center"/>
    </xf>
    <xf numFmtId="2" fontId="6" fillId="9" borderId="12" xfId="0" applyNumberFormat="1" applyFont="1" applyFill="1" applyBorder="1" applyAlignment="1">
      <alignment horizontal="center"/>
    </xf>
    <xf numFmtId="2" fontId="6" fillId="11" borderId="12" xfId="0" applyNumberFormat="1" applyFont="1" applyFill="1" applyBorder="1" applyAlignment="1">
      <alignment horizontal="center"/>
    </xf>
    <xf numFmtId="2" fontId="6" fillId="11" borderId="8" xfId="0" applyNumberFormat="1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2" fontId="8" fillId="5" borderId="16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0" fontId="5" fillId="12" borderId="17" xfId="0" applyFont="1" applyFill="1" applyBorder="1" applyAlignment="1">
      <alignment horizontal="center"/>
    </xf>
    <xf numFmtId="0" fontId="5" fillId="4" borderId="23" xfId="0" applyFont="1" applyFill="1" applyBorder="1" applyAlignment="1">
      <alignment horizontal="center"/>
    </xf>
    <xf numFmtId="2" fontId="8" fillId="5" borderId="12" xfId="0" applyNumberFormat="1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2" fontId="10" fillId="12" borderId="22" xfId="0" applyNumberFormat="1" applyFont="1" applyFill="1" applyBorder="1" applyAlignment="1">
      <alignment horizontal="center"/>
    </xf>
    <xf numFmtId="2" fontId="10" fillId="12" borderId="20" xfId="0" applyNumberFormat="1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2" fontId="5" fillId="15" borderId="20" xfId="0" applyNumberFormat="1" applyFont="1" applyFill="1" applyBorder="1" applyAlignment="1">
      <alignment horizontal="center"/>
    </xf>
    <xf numFmtId="0" fontId="6" fillId="15" borderId="20" xfId="0" applyFont="1" applyFill="1" applyBorder="1" applyAlignment="1">
      <alignment horizontal="center"/>
    </xf>
    <xf numFmtId="2" fontId="11" fillId="0" borderId="20" xfId="0" applyNumberFormat="1" applyFont="1" applyBorder="1" applyAlignment="1">
      <alignment horizontal="center"/>
    </xf>
    <xf numFmtId="2" fontId="5" fillId="0" borderId="20" xfId="0" applyNumberFormat="1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2" fontId="6" fillId="0" borderId="26" xfId="0" applyNumberFormat="1" applyFont="1" applyBorder="1" applyAlignment="1">
      <alignment horizontal="center"/>
    </xf>
    <xf numFmtId="2" fontId="6" fillId="3" borderId="12" xfId="0" applyNumberFormat="1" applyFont="1" applyFill="1" applyBorder="1" applyAlignment="1">
      <alignment horizontal="center"/>
    </xf>
    <xf numFmtId="2" fontId="5" fillId="12" borderId="29" xfId="0" applyNumberFormat="1" applyFont="1" applyFill="1" applyBorder="1" applyAlignment="1">
      <alignment horizontal="center" vertical="center"/>
    </xf>
    <xf numFmtId="2" fontId="6" fillId="12" borderId="30" xfId="0" applyNumberFormat="1" applyFont="1" applyFill="1" applyBorder="1" applyAlignment="1">
      <alignment horizontal="center" vertical="center"/>
    </xf>
    <xf numFmtId="164" fontId="5" fillId="0" borderId="31" xfId="0" applyNumberFormat="1" applyFont="1" applyBorder="1" applyAlignment="1">
      <alignment horizontal="center"/>
    </xf>
    <xf numFmtId="0" fontId="6" fillId="0" borderId="31" xfId="0" applyFont="1" applyBorder="1" applyAlignment="1">
      <alignment horizontal="center" vertical="center"/>
    </xf>
    <xf numFmtId="0" fontId="6" fillId="15" borderId="31" xfId="0" applyFont="1" applyFill="1" applyBorder="1" applyAlignment="1">
      <alignment horizontal="center"/>
    </xf>
    <xf numFmtId="2" fontId="5" fillId="0" borderId="31" xfId="0" applyNumberFormat="1" applyFont="1" applyBorder="1" applyAlignment="1">
      <alignment horizontal="center"/>
    </xf>
    <xf numFmtId="165" fontId="5" fillId="0" borderId="31" xfId="0" applyNumberFormat="1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2" fontId="6" fillId="0" borderId="8" xfId="0" applyNumberFormat="1" applyFont="1" applyBorder="1" applyAlignment="1">
      <alignment horizontal="center"/>
    </xf>
    <xf numFmtId="2" fontId="6" fillId="3" borderId="8" xfId="0" applyNumberFormat="1" applyFont="1" applyFill="1" applyBorder="1" applyAlignment="1">
      <alignment horizontal="center"/>
    </xf>
    <xf numFmtId="2" fontId="6" fillId="17" borderId="8" xfId="0" applyNumberFormat="1" applyFont="1" applyFill="1" applyBorder="1" applyAlignment="1">
      <alignment horizontal="center"/>
    </xf>
    <xf numFmtId="0" fontId="6" fillId="4" borderId="33" xfId="0" applyFont="1" applyFill="1" applyBorder="1" applyAlignment="1">
      <alignment horizontal="center"/>
    </xf>
    <xf numFmtId="2" fontId="5" fillId="4" borderId="34" xfId="0" applyNumberFormat="1" applyFont="1" applyFill="1" applyBorder="1" applyAlignment="1">
      <alignment horizontal="center"/>
    </xf>
    <xf numFmtId="2" fontId="6" fillId="4" borderId="35" xfId="0" applyNumberFormat="1" applyFont="1" applyFill="1" applyBorder="1"/>
    <xf numFmtId="2" fontId="5" fillId="4" borderId="35" xfId="0" applyNumberFormat="1" applyFont="1" applyFill="1" applyBorder="1" applyAlignment="1">
      <alignment horizontal="center"/>
    </xf>
    <xf numFmtId="2" fontId="6" fillId="4" borderId="35" xfId="0" applyNumberFormat="1" applyFont="1" applyFill="1" applyBorder="1" applyAlignment="1">
      <alignment horizontal="center"/>
    </xf>
    <xf numFmtId="0" fontId="12" fillId="4" borderId="35" xfId="0" applyFont="1" applyFill="1" applyBorder="1" applyAlignment="1">
      <alignment horizontal="center"/>
    </xf>
    <xf numFmtId="0" fontId="0" fillId="18" borderId="8" xfId="0" applyFill="1" applyBorder="1"/>
    <xf numFmtId="0" fontId="6" fillId="0" borderId="15" xfId="0" applyFont="1" applyBorder="1"/>
    <xf numFmtId="2" fontId="6" fillId="8" borderId="16" xfId="0" applyNumberFormat="1" applyFont="1" applyFill="1" applyBorder="1"/>
    <xf numFmtId="2" fontId="6" fillId="9" borderId="16" xfId="0" applyNumberFormat="1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2" fontId="6" fillId="7" borderId="16" xfId="0" applyNumberFormat="1" applyFont="1" applyFill="1" applyBorder="1" applyAlignment="1">
      <alignment horizontal="center"/>
    </xf>
    <xf numFmtId="2" fontId="6" fillId="5" borderId="16" xfId="0" applyNumberFormat="1" applyFont="1" applyFill="1" applyBorder="1" applyAlignment="1">
      <alignment horizontal="center"/>
    </xf>
    <xf numFmtId="2" fontId="6" fillId="8" borderId="16" xfId="0" applyNumberFormat="1" applyFont="1" applyFill="1" applyBorder="1" applyAlignment="1">
      <alignment horizontal="center"/>
    </xf>
    <xf numFmtId="2" fontId="6" fillId="10" borderId="16" xfId="0" applyNumberFormat="1" applyFont="1" applyFill="1" applyBorder="1" applyAlignment="1">
      <alignment horizontal="center"/>
    </xf>
    <xf numFmtId="2" fontId="6" fillId="11" borderId="16" xfId="0" applyNumberFormat="1" applyFont="1" applyFill="1" applyBorder="1" applyAlignment="1">
      <alignment horizontal="center"/>
    </xf>
    <xf numFmtId="0" fontId="3" fillId="19" borderId="3" xfId="0" applyFont="1" applyFill="1" applyBorder="1" applyAlignment="1">
      <alignment horizontal="center"/>
    </xf>
    <xf numFmtId="0" fontId="3" fillId="19" borderId="4" xfId="0" applyFont="1" applyFill="1" applyBorder="1" applyAlignment="1">
      <alignment horizontal="center"/>
    </xf>
    <xf numFmtId="0" fontId="0" fillId="18" borderId="37" xfId="0" applyFill="1" applyBorder="1"/>
    <xf numFmtId="0" fontId="12" fillId="4" borderId="39" xfId="0" applyFont="1" applyFill="1" applyBorder="1" applyAlignment="1">
      <alignment horizontal="center"/>
    </xf>
    <xf numFmtId="0" fontId="5" fillId="13" borderId="40" xfId="0" applyFont="1" applyFill="1" applyBorder="1" applyAlignment="1">
      <alignment horizontal="center"/>
    </xf>
    <xf numFmtId="0" fontId="5" fillId="13" borderId="26" xfId="0" applyFont="1" applyFill="1" applyBorder="1" applyAlignment="1">
      <alignment horizontal="center"/>
    </xf>
    <xf numFmtId="0" fontId="9" fillId="0" borderId="26" xfId="0" applyFont="1" applyBorder="1" applyAlignment="1">
      <alignment horizontal="center"/>
    </xf>
    <xf numFmtId="2" fontId="5" fillId="0" borderId="25" xfId="0" applyNumberFormat="1" applyFont="1" applyBorder="1" applyAlignment="1">
      <alignment horizontal="center"/>
    </xf>
    <xf numFmtId="2" fontId="5" fillId="0" borderId="24" xfId="0" applyNumberFormat="1" applyFont="1" applyBorder="1" applyAlignment="1">
      <alignment horizontal="center"/>
    </xf>
    <xf numFmtId="2" fontId="5" fillId="20" borderId="7" xfId="0" applyNumberFormat="1" applyFont="1" applyFill="1" applyBorder="1" applyAlignment="1">
      <alignment horizontal="center"/>
    </xf>
    <xf numFmtId="2" fontId="6" fillId="20" borderId="7" xfId="0" applyNumberFormat="1" applyFont="1" applyFill="1" applyBorder="1" applyAlignment="1">
      <alignment horizontal="center" vertical="center"/>
    </xf>
    <xf numFmtId="2" fontId="5" fillId="20" borderId="43" xfId="0" applyNumberFormat="1" applyFont="1" applyFill="1" applyBorder="1" applyAlignment="1">
      <alignment horizontal="center"/>
    </xf>
    <xf numFmtId="2" fontId="5" fillId="20" borderId="46" xfId="0" applyNumberFormat="1" applyFont="1" applyFill="1" applyBorder="1" applyAlignment="1">
      <alignment horizontal="center"/>
    </xf>
    <xf numFmtId="0" fontId="6" fillId="20" borderId="48" xfId="0" applyFont="1" applyFill="1" applyBorder="1" applyAlignment="1">
      <alignment horizontal="center"/>
    </xf>
    <xf numFmtId="0" fontId="5" fillId="20" borderId="47" xfId="0" applyFont="1" applyFill="1" applyBorder="1" applyAlignment="1">
      <alignment horizontal="center"/>
    </xf>
    <xf numFmtId="0" fontId="5" fillId="20" borderId="48" xfId="0" applyFont="1" applyFill="1" applyBorder="1" applyAlignment="1">
      <alignment horizontal="center"/>
    </xf>
    <xf numFmtId="0" fontId="6" fillId="8" borderId="37" xfId="0" applyFont="1" applyFill="1" applyBorder="1" applyAlignment="1">
      <alignment horizontal="center"/>
    </xf>
    <xf numFmtId="0" fontId="5" fillId="8" borderId="18" xfId="0" applyFont="1" applyFill="1" applyBorder="1" applyAlignment="1">
      <alignment horizontal="center" vertical="center"/>
    </xf>
    <xf numFmtId="1" fontId="5" fillId="20" borderId="47" xfId="0" applyNumberFormat="1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15" fillId="0" borderId="0" xfId="0" applyFont="1"/>
    <xf numFmtId="2" fontId="10" fillId="16" borderId="20" xfId="0" applyNumberFormat="1" applyFont="1" applyFill="1" applyBorder="1" applyAlignment="1">
      <alignment horizontal="center"/>
    </xf>
    <xf numFmtId="0" fontId="15" fillId="0" borderId="0" xfId="0" applyFont="1" applyAlignment="1">
      <alignment vertical="center" wrapText="1"/>
    </xf>
    <xf numFmtId="9" fontId="17" fillId="16" borderId="50" xfId="0" applyNumberFormat="1" applyFont="1" applyFill="1" applyBorder="1" applyAlignment="1">
      <alignment horizontal="center"/>
    </xf>
    <xf numFmtId="9" fontId="17" fillId="16" borderId="53" xfId="0" applyNumberFormat="1" applyFont="1" applyFill="1" applyBorder="1" applyAlignment="1">
      <alignment horizontal="center"/>
    </xf>
    <xf numFmtId="0" fontId="16" fillId="16" borderId="6" xfId="0" applyFont="1" applyFill="1" applyBorder="1" applyAlignment="1">
      <alignment horizontal="center"/>
    </xf>
    <xf numFmtId="2" fontId="5" fillId="20" borderId="54" xfId="0" applyNumberFormat="1" applyFont="1" applyFill="1" applyBorder="1" applyAlignment="1">
      <alignment horizontal="center"/>
    </xf>
    <xf numFmtId="1" fontId="5" fillId="20" borderId="55" xfId="0" applyNumberFormat="1" applyFont="1" applyFill="1" applyBorder="1" applyAlignment="1">
      <alignment horizontal="center"/>
    </xf>
    <xf numFmtId="0" fontId="5" fillId="20" borderId="55" xfId="0" applyFont="1" applyFill="1" applyBorder="1" applyAlignment="1">
      <alignment horizontal="center"/>
    </xf>
    <xf numFmtId="0" fontId="18" fillId="21" borderId="9" xfId="0" applyFont="1" applyFill="1" applyBorder="1" applyAlignment="1">
      <alignment horizontal="center"/>
    </xf>
    <xf numFmtId="0" fontId="18" fillId="21" borderId="10" xfId="0" applyFont="1" applyFill="1" applyBorder="1" applyAlignment="1">
      <alignment horizontal="center"/>
    </xf>
    <xf numFmtId="0" fontId="3" fillId="16" borderId="6" xfId="0" applyFont="1" applyFill="1" applyBorder="1"/>
    <xf numFmtId="0" fontId="5" fillId="4" borderId="57" xfId="0" applyFont="1" applyFill="1" applyBorder="1" applyAlignment="1">
      <alignment horizontal="center" vertical="center" wrapText="1"/>
    </xf>
    <xf numFmtId="0" fontId="6" fillId="4" borderId="52" xfId="0" applyFont="1" applyFill="1" applyBorder="1" applyAlignment="1">
      <alignment horizontal="center"/>
    </xf>
    <xf numFmtId="0" fontId="5" fillId="4" borderId="16" xfId="0" applyFont="1" applyFill="1" applyBorder="1"/>
    <xf numFmtId="0" fontId="0" fillId="18" borderId="16" xfId="0" applyFill="1" applyBorder="1"/>
    <xf numFmtId="0" fontId="18" fillId="21" borderId="58" xfId="0" applyFont="1" applyFill="1" applyBorder="1" applyAlignment="1">
      <alignment horizontal="center"/>
    </xf>
    <xf numFmtId="0" fontId="19" fillId="0" borderId="0" xfId="0" applyFont="1"/>
    <xf numFmtId="0" fontId="20" fillId="0" borderId="0" xfId="0" applyFont="1"/>
    <xf numFmtId="0" fontId="15" fillId="16" borderId="17" xfId="0" applyFont="1" applyFill="1" applyBorder="1" applyAlignment="1">
      <alignment horizontal="center" vertical="center"/>
    </xf>
    <xf numFmtId="0" fontId="15" fillId="16" borderId="50" xfId="0" applyFont="1" applyFill="1" applyBorder="1" applyAlignment="1">
      <alignment horizontal="center" vertical="center"/>
    </xf>
    <xf numFmtId="2" fontId="5" fillId="20" borderId="56" xfId="0" applyNumberFormat="1" applyFont="1" applyFill="1" applyBorder="1" applyAlignment="1">
      <alignment horizontal="center" vertical="center"/>
    </xf>
    <xf numFmtId="2" fontId="5" fillId="20" borderId="33" xfId="0" applyNumberFormat="1" applyFont="1" applyFill="1" applyBorder="1" applyAlignment="1">
      <alignment horizontal="center" vertical="center"/>
    </xf>
    <xf numFmtId="2" fontId="5" fillId="20" borderId="36" xfId="0" applyNumberFormat="1" applyFont="1" applyFill="1" applyBorder="1" applyAlignment="1">
      <alignment horizontal="center" vertical="center"/>
    </xf>
    <xf numFmtId="2" fontId="5" fillId="20" borderId="51" xfId="0" applyNumberFormat="1" applyFont="1" applyFill="1" applyBorder="1" applyAlignment="1">
      <alignment horizontal="center" vertical="center"/>
    </xf>
    <xf numFmtId="2" fontId="5" fillId="20" borderId="8" xfId="0" applyNumberFormat="1" applyFont="1" applyFill="1" applyBorder="1" applyAlignment="1">
      <alignment horizontal="center" vertical="center"/>
    </xf>
    <xf numFmtId="2" fontId="5" fillId="20" borderId="42" xfId="0" applyNumberFormat="1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center"/>
    </xf>
    <xf numFmtId="0" fontId="14" fillId="19" borderId="2" xfId="0" applyFont="1" applyFill="1" applyBorder="1" applyAlignment="1">
      <alignment horizontal="center"/>
    </xf>
    <xf numFmtId="0" fontId="3" fillId="9" borderId="13" xfId="0" applyFont="1" applyFill="1" applyBorder="1" applyAlignment="1">
      <alignment horizontal="center" vertical="center" wrapText="1"/>
    </xf>
    <xf numFmtId="0" fontId="3" fillId="9" borderId="14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/>
    </xf>
    <xf numFmtId="0" fontId="6" fillId="16" borderId="2" xfId="0" applyFont="1" applyFill="1" applyBorder="1" applyAlignment="1">
      <alignment horizontal="center"/>
    </xf>
    <xf numFmtId="0" fontId="6" fillId="13" borderId="41" xfId="0" applyFont="1" applyFill="1" applyBorder="1" applyAlignment="1">
      <alignment horizontal="center"/>
    </xf>
    <xf numFmtId="0" fontId="6" fillId="13" borderId="24" xfId="0" applyFont="1" applyFill="1" applyBorder="1" applyAlignment="1">
      <alignment horizontal="center"/>
    </xf>
    <xf numFmtId="0" fontId="3" fillId="5" borderId="20" xfId="0" applyFont="1" applyFill="1" applyBorder="1" applyAlignment="1">
      <alignment horizontal="center" vertical="center" wrapText="1"/>
    </xf>
    <xf numFmtId="0" fontId="3" fillId="5" borderId="27" xfId="0" applyFont="1" applyFill="1" applyBorder="1" applyAlignment="1">
      <alignment horizontal="center" vertical="center" wrapText="1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2" fontId="5" fillId="20" borderId="44" xfId="0" applyNumberFormat="1" applyFont="1" applyFill="1" applyBorder="1" applyAlignment="1">
      <alignment horizontal="center" vertical="center"/>
    </xf>
    <xf numFmtId="2" fontId="5" fillId="20" borderId="45" xfId="0" applyNumberFormat="1" applyFont="1" applyFill="1" applyBorder="1" applyAlignment="1">
      <alignment horizontal="center" vertical="center"/>
    </xf>
    <xf numFmtId="0" fontId="3" fillId="14" borderId="13" xfId="0" applyFont="1" applyFill="1" applyBorder="1" applyAlignment="1">
      <alignment horizontal="center" vertical="center" wrapText="1"/>
    </xf>
    <xf numFmtId="0" fontId="3" fillId="14" borderId="14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0" fontId="6" fillId="12" borderId="17" xfId="0" applyFont="1" applyFill="1" applyBorder="1" applyAlignment="1">
      <alignment horizontal="center" vertical="center"/>
    </xf>
    <xf numFmtId="0" fontId="6" fillId="12" borderId="28" xfId="0" applyFont="1" applyFill="1" applyBorder="1" applyAlignment="1">
      <alignment horizontal="center" vertical="center"/>
    </xf>
    <xf numFmtId="0" fontId="4" fillId="12" borderId="24" xfId="0" applyFont="1" applyFill="1" applyBorder="1" applyAlignment="1">
      <alignment horizontal="center" vertical="center" wrapText="1"/>
    </xf>
    <xf numFmtId="0" fontId="4" fillId="12" borderId="32" xfId="0" applyFont="1" applyFill="1" applyBorder="1" applyAlignment="1">
      <alignment horizontal="center" vertical="center" wrapText="1"/>
    </xf>
    <xf numFmtId="0" fontId="4" fillId="12" borderId="25" xfId="0" applyFont="1" applyFill="1" applyBorder="1" applyAlignment="1">
      <alignment horizontal="center" vertical="center" wrapText="1"/>
    </xf>
    <xf numFmtId="0" fontId="4" fillId="12" borderId="49" xfId="0" applyFont="1" applyFill="1" applyBorder="1" applyAlignment="1">
      <alignment horizontal="center" vertical="center" wrapText="1"/>
    </xf>
    <xf numFmtId="9" fontId="6" fillId="16" borderId="17" xfId="0" applyNumberFormat="1" applyFont="1" applyFill="1" applyBorder="1" applyAlignment="1">
      <alignment horizontal="center" vertical="center" wrapText="1"/>
    </xf>
    <xf numFmtId="9" fontId="6" fillId="16" borderId="50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5" fillId="4" borderId="52" xfId="0" applyFont="1" applyFill="1" applyBorder="1" applyAlignment="1">
      <alignment horizontal="center" vertical="center" wrapText="1"/>
    </xf>
    <xf numFmtId="0" fontId="5" fillId="4" borderId="38" xfId="0" applyFont="1" applyFill="1" applyBorder="1" applyAlignment="1">
      <alignment horizontal="center" vertical="center" wrapText="1"/>
    </xf>
    <xf numFmtId="0" fontId="5" fillId="4" borderId="52" xfId="0" applyFont="1" applyFill="1" applyBorder="1" applyAlignment="1">
      <alignment horizontal="center" vertical="center"/>
    </xf>
    <xf numFmtId="0" fontId="5" fillId="4" borderId="38" xfId="0" applyFont="1" applyFill="1" applyBorder="1" applyAlignment="1">
      <alignment horizontal="center" vertical="center"/>
    </xf>
    <xf numFmtId="164" fontId="5" fillId="4" borderId="52" xfId="0" applyNumberFormat="1" applyFont="1" applyFill="1" applyBorder="1" applyAlignment="1">
      <alignment horizontal="center" vertical="center"/>
    </xf>
    <xf numFmtId="164" fontId="5" fillId="4" borderId="38" xfId="0" applyNumberFormat="1" applyFont="1" applyFill="1" applyBorder="1" applyAlignment="1">
      <alignment horizontal="center" vertical="center"/>
    </xf>
    <xf numFmtId="4" fontId="19" fillId="18" borderId="52" xfId="0" applyNumberFormat="1" applyFont="1" applyFill="1" applyBorder="1" applyAlignment="1">
      <alignment horizontal="center" vertical="center"/>
    </xf>
    <xf numFmtId="4" fontId="19" fillId="18" borderId="38" xfId="0" applyNumberFormat="1" applyFont="1" applyFill="1" applyBorder="1" applyAlignment="1">
      <alignment horizontal="center" vertical="center"/>
    </xf>
  </cellXfs>
  <cellStyles count="66">
    <cellStyle name="Besuchter Link" xfId="2" builtinId="9" hidden="1"/>
    <cellStyle name="Besuchter Link" xfId="3" builtinId="9" hidden="1"/>
    <cellStyle name="Besuchter Link" xfId="4" builtinId="9" hidden="1"/>
    <cellStyle name="Besuchter Link" xfId="5" builtinId="9" hidden="1"/>
    <cellStyle name="Besuchter Link" xfId="6" builtinId="9" hidden="1"/>
    <cellStyle name="Besuchter Link" xfId="7" builtinId="9" hidden="1"/>
    <cellStyle name="Besuchter Link" xfId="8" builtinId="9" hidden="1"/>
    <cellStyle name="Besuchter Link" xfId="9" builtinId="9" hidden="1"/>
    <cellStyle name="Besuchter Link" xfId="10" builtinId="9" hidden="1"/>
    <cellStyle name="Besuchter Link" xfId="11" builtinId="9" hidden="1"/>
    <cellStyle name="Besuchter Link" xfId="12" builtinId="9" hidden="1"/>
    <cellStyle name="Besuchter Link" xfId="13" builtinId="9" hidden="1"/>
    <cellStyle name="Besuchter Link" xfId="14" builtinId="9" hidden="1"/>
    <cellStyle name="Besuchter Link" xfId="15" builtinId="9" hidden="1"/>
    <cellStyle name="Besuchter Link" xfId="16" builtinId="9" hidden="1"/>
    <cellStyle name="Besuchter Link" xfId="17" builtinId="9" hidden="1"/>
    <cellStyle name="Besuchter Link" xfId="18" builtinId="9" hidden="1"/>
    <cellStyle name="Besuchter Link" xfId="19" builtinId="9" hidden="1"/>
    <cellStyle name="Besuchter Link" xfId="20" builtinId="9" hidden="1"/>
    <cellStyle name="Besuchter Link" xfId="21" builtinId="9" hidden="1"/>
    <cellStyle name="Besuchter Link" xfId="22" builtinId="9" hidden="1"/>
    <cellStyle name="Besuchter Link" xfId="23" builtinId="9" hidden="1"/>
    <cellStyle name="Besuchter Link" xfId="24" builtinId="9" hidden="1"/>
    <cellStyle name="Besuchter Link" xfId="25" builtinId="9" hidden="1"/>
    <cellStyle name="Besuchter Link" xfId="26" builtinId="9" hidden="1"/>
    <cellStyle name="Besuchter Link" xfId="27" builtinId="9" hidden="1"/>
    <cellStyle name="Besuchter Link" xfId="28" builtinId="9" hidden="1"/>
    <cellStyle name="Besuchter Link" xfId="29" builtinId="9" hidden="1"/>
    <cellStyle name="Besuchter Link" xfId="30" builtinId="9" hidden="1"/>
    <cellStyle name="Besuchter Link" xfId="31" builtinId="9" hidden="1"/>
    <cellStyle name="Besuchter Link" xfId="32" builtinId="9" hidden="1"/>
    <cellStyle name="Besuchter Link" xfId="33" builtinId="9" hidden="1"/>
    <cellStyle name="Besuchter Link" xfId="34" builtinId="9" hidden="1"/>
    <cellStyle name="Besuchter Link" xfId="35" builtinId="9" hidden="1"/>
    <cellStyle name="Besuchter Link" xfId="36" builtinId="9" hidden="1"/>
    <cellStyle name="Besuchter Link" xfId="37" builtinId="9" hidden="1"/>
    <cellStyle name="Besuchter Link" xfId="38" builtinId="9" hidden="1"/>
    <cellStyle name="Besuchter Link" xfId="39" builtinId="9" hidden="1"/>
    <cellStyle name="Besuchter Link" xfId="40" builtinId="9" hidden="1"/>
    <cellStyle name="Besuchter Link" xfId="41" builtinId="9" hidden="1"/>
    <cellStyle name="Besuchter Link" xfId="42" builtinId="9" hidden="1"/>
    <cellStyle name="Besuchter Link" xfId="43" builtinId="9" hidden="1"/>
    <cellStyle name="Besuchter Link" xfId="44" builtinId="9" hidden="1"/>
    <cellStyle name="Besuchter Link" xfId="45" builtinId="9" hidden="1"/>
    <cellStyle name="Besuchter Link" xfId="46" builtinId="9" hidden="1"/>
    <cellStyle name="Besuchter Link" xfId="47" builtinId="9" hidden="1"/>
    <cellStyle name="Besuchter Link" xfId="48" builtinId="9" hidden="1"/>
    <cellStyle name="Besuchter Link" xfId="49" builtinId="9" hidden="1"/>
    <cellStyle name="Besuchter Link" xfId="50" builtinId="9" hidden="1"/>
    <cellStyle name="Besuchter Link" xfId="51" builtinId="9" hidden="1"/>
    <cellStyle name="Besuchter Link" xfId="52" builtinId="9" hidden="1"/>
    <cellStyle name="Besuchter Link" xfId="53" builtinId="9" hidden="1"/>
    <cellStyle name="Besuchter Link" xfId="54" builtinId="9" hidden="1"/>
    <cellStyle name="Besuchter Link" xfId="55" builtinId="9" hidden="1"/>
    <cellStyle name="Besuchter Link" xfId="56" builtinId="9" hidden="1"/>
    <cellStyle name="Besuchter Link" xfId="57" builtinId="9" hidden="1"/>
    <cellStyle name="Besuchter Link" xfId="58" builtinId="9" hidden="1"/>
    <cellStyle name="Besuchter Link" xfId="59" builtinId="9" hidden="1"/>
    <cellStyle name="Besuchter Link" xfId="60" builtinId="9" hidden="1"/>
    <cellStyle name="Besuchter Link" xfId="61" builtinId="9" hidden="1"/>
    <cellStyle name="Besuchter Link" xfId="62" builtinId="9" hidden="1"/>
    <cellStyle name="Besuchter Link" xfId="63" builtinId="9" hidden="1"/>
    <cellStyle name="Besuchter Link" xfId="64" builtinId="9" hidden="1"/>
    <cellStyle name="Besuchter Link" xfId="65" builtinId="9" hidden="1"/>
    <cellStyle name="Link" xfId="1" builtinId="8"/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45"/>
  <sheetViews>
    <sheetView tabSelected="1" topLeftCell="B1" zoomScale="75" zoomScaleNormal="75" zoomScalePageLayoutView="75" workbookViewId="0">
      <selection activeCell="B20" sqref="B20"/>
    </sheetView>
  </sheetViews>
  <sheetFormatPr baseColWidth="10" defaultRowHeight="15" x14ac:dyDescent="0"/>
  <cols>
    <col min="1" max="1" width="18.6640625" customWidth="1"/>
    <col min="2" max="2" width="18.1640625" customWidth="1"/>
    <col min="3" max="3" width="14.83203125" customWidth="1"/>
    <col min="4" max="4" width="16.83203125" customWidth="1"/>
    <col min="5" max="5" width="18.33203125" customWidth="1"/>
    <col min="6" max="6" width="14.6640625" customWidth="1"/>
    <col min="8" max="8" width="14.6640625" customWidth="1"/>
    <col min="9" max="9" width="14" customWidth="1"/>
    <col min="10" max="10" width="16.5" customWidth="1"/>
    <col min="11" max="11" width="13.6640625" customWidth="1"/>
    <col min="12" max="12" width="13" customWidth="1"/>
    <col min="13" max="13" width="12.6640625" customWidth="1"/>
    <col min="14" max="14" width="16.6640625" customWidth="1"/>
    <col min="15" max="15" width="18.1640625" customWidth="1"/>
    <col min="16" max="16" width="17" customWidth="1"/>
    <col min="23" max="23" width="26.33203125" customWidth="1"/>
  </cols>
  <sheetData>
    <row r="1" spans="1:104" s="9" customFormat="1" ht="25" customHeight="1" thickBot="1">
      <c r="A1" s="1" t="s">
        <v>39</v>
      </c>
      <c r="B1" s="116" t="s">
        <v>42</v>
      </c>
      <c r="C1" s="117"/>
      <c r="D1" s="69" t="s">
        <v>0</v>
      </c>
      <c r="E1" s="70" t="s">
        <v>31</v>
      </c>
      <c r="F1" s="88">
        <v>1.931</v>
      </c>
      <c r="G1" s="69" t="s">
        <v>1</v>
      </c>
      <c r="H1" s="70" t="s">
        <v>32</v>
      </c>
      <c r="I1" s="88">
        <v>1.728</v>
      </c>
      <c r="J1" s="69" t="s">
        <v>2</v>
      </c>
      <c r="K1" s="70" t="s">
        <v>3</v>
      </c>
      <c r="L1" s="88">
        <v>1.8</v>
      </c>
      <c r="M1"/>
      <c r="N1" s="120" t="s">
        <v>37</v>
      </c>
      <c r="O1" s="121"/>
      <c r="P1" s="100" t="s">
        <v>66</v>
      </c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 s="2" t="s">
        <v>4</v>
      </c>
      <c r="AL1" s="5">
        <f>$E$155</f>
        <v>0</v>
      </c>
      <c r="AM1" s="2" t="s">
        <v>5</v>
      </c>
      <c r="AN1" s="3">
        <v>105.87</v>
      </c>
      <c r="AO1" s="4" t="s">
        <v>6</v>
      </c>
      <c r="AP1" s="2" t="s">
        <v>7</v>
      </c>
      <c r="AQ1" s="6">
        <f t="shared" ref="AQ1:AQ6" si="0">AM4*$AR$106</f>
        <v>0</v>
      </c>
      <c r="AR1" s="7">
        <f t="shared" ref="AR1:AR7" si="1">AQ1-$AQ$108</f>
        <v>0</v>
      </c>
      <c r="AS1" s="8">
        <f t="shared" ref="AS1:AS6" si="2">$AS$106*AO4</f>
        <v>0</v>
      </c>
      <c r="AU1" s="10">
        <v>49.586800000000004</v>
      </c>
      <c r="AY1" s="11">
        <v>400</v>
      </c>
      <c r="AZ1" s="12">
        <v>800</v>
      </c>
      <c r="BA1" s="12">
        <f t="shared" ref="BA1:BA5" si="3">AY1*AZ1*0.001*0.001</f>
        <v>0.32</v>
      </c>
      <c r="BB1" s="13">
        <v>61</v>
      </c>
      <c r="BC1" s="14">
        <v>81.8</v>
      </c>
      <c r="BD1" s="15">
        <v>25.3</v>
      </c>
      <c r="BE1" s="16">
        <f>$D$6</f>
        <v>1</v>
      </c>
      <c r="BF1" s="17">
        <f t="shared" ref="BF1:BF5" si="4">$BF$90*BD1</f>
        <v>0</v>
      </c>
      <c r="BG1" s="17">
        <f>BF1-$BF$92</f>
        <v>0</v>
      </c>
      <c r="BH1" s="18">
        <f t="shared" ref="BH1:BH5" si="5">$BH$90*BD1</f>
        <v>0</v>
      </c>
      <c r="BI1" s="6">
        <f>BH1-$BH$92</f>
        <v>0</v>
      </c>
      <c r="BJ1" s="19">
        <f t="shared" ref="BJ1:BJ5" si="6">$BJ$90*BB1</f>
        <v>0</v>
      </c>
      <c r="BK1" s="19">
        <f>BJ1-$BJ$92</f>
        <v>0</v>
      </c>
      <c r="BL1" s="20">
        <f t="shared" ref="BL1:BL5" si="7">$BL$90*BB1</f>
        <v>0</v>
      </c>
      <c r="BM1" s="21">
        <f>BL1-$BL$92</f>
        <v>0</v>
      </c>
      <c r="BN1" s="22">
        <f t="shared" ref="BN1:BN5" si="8">$BN$90*BC1</f>
        <v>0</v>
      </c>
      <c r="BO1" s="22">
        <f>BN1-$BN$93</f>
        <v>0</v>
      </c>
      <c r="BP1" s="23">
        <f t="shared" ref="BP1:BP5" si="9">$BP$90*BC1</f>
        <v>0</v>
      </c>
      <c r="BQ1" s="24">
        <f>BP1-$BP$93</f>
        <v>0</v>
      </c>
      <c r="BS1"/>
      <c r="BT1" s="118" t="s">
        <v>8</v>
      </c>
      <c r="BU1" s="119"/>
      <c r="BV1" s="25">
        <v>5452</v>
      </c>
      <c r="BW1" s="26" t="e">
        <f t="shared" ref="BW1" si="10">#REF!</f>
        <v>#REF!</v>
      </c>
      <c r="BX1" s="27">
        <f>$D$63</f>
        <v>0</v>
      </c>
      <c r="CF1"/>
    </row>
    <row r="2" spans="1:104" s="9" customFormat="1" ht="25" customHeight="1" thickBot="1">
      <c r="A2" s="28" t="s">
        <v>40</v>
      </c>
      <c r="B2" s="85" t="s">
        <v>38</v>
      </c>
      <c r="C2" s="86">
        <f>IF($F$2=1,$F$1,IF($F$2=2,$I$1,IF($F$2=3,$L$1,F19)))</f>
        <v>1.931</v>
      </c>
      <c r="D2" s="116" t="s">
        <v>42</v>
      </c>
      <c r="E2" s="117"/>
      <c r="F2" s="132">
        <v>1</v>
      </c>
      <c r="G2" s="133"/>
      <c r="H2" s="133"/>
      <c r="I2" s="133"/>
      <c r="J2" s="133"/>
      <c r="K2" s="133"/>
      <c r="L2" s="133"/>
      <c r="M2" s="133"/>
      <c r="N2" s="93" t="s">
        <v>35</v>
      </c>
      <c r="O2" s="92" t="s">
        <v>36</v>
      </c>
      <c r="P2" s="94" t="s">
        <v>65</v>
      </c>
      <c r="Q2" s="73" t="s">
        <v>9</v>
      </c>
      <c r="R2" s="74">
        <v>0</v>
      </c>
      <c r="S2" s="75">
        <f>1+(R2/100)</f>
        <v>1</v>
      </c>
      <c r="T2" s="122" t="s">
        <v>10</v>
      </c>
      <c r="U2" s="123"/>
      <c r="V2" s="76"/>
      <c r="W2" s="77"/>
      <c r="X2"/>
      <c r="Y2"/>
      <c r="Z2"/>
      <c r="AA2"/>
      <c r="AB2"/>
      <c r="AC2"/>
      <c r="AD2"/>
      <c r="AE2"/>
      <c r="AF2"/>
      <c r="AG2"/>
      <c r="AK2" s="2" t="s">
        <v>11</v>
      </c>
      <c r="AL2" s="4" t="s">
        <v>12</v>
      </c>
      <c r="AM2" s="4" t="s">
        <v>13</v>
      </c>
      <c r="AN2" s="4" t="s">
        <v>14</v>
      </c>
      <c r="AO2" s="4" t="s">
        <v>15</v>
      </c>
      <c r="AP2" s="4" t="s">
        <v>16</v>
      </c>
      <c r="AQ2" s="6">
        <f t="shared" si="0"/>
        <v>0</v>
      </c>
      <c r="AR2" s="7">
        <f t="shared" si="1"/>
        <v>0</v>
      </c>
      <c r="AS2" s="8">
        <f t="shared" si="2"/>
        <v>0</v>
      </c>
      <c r="AU2" s="10">
        <v>45.866200000000006</v>
      </c>
      <c r="AY2" s="11">
        <v>400</v>
      </c>
      <c r="AZ2" s="12">
        <v>1000</v>
      </c>
      <c r="BA2" s="12">
        <f t="shared" si="3"/>
        <v>0.4</v>
      </c>
      <c r="BB2" s="13">
        <v>68.7</v>
      </c>
      <c r="BC2" s="14">
        <v>95.1</v>
      </c>
      <c r="BD2" s="15">
        <v>29.6</v>
      </c>
      <c r="BE2" s="16">
        <f>$D$6</f>
        <v>1</v>
      </c>
      <c r="BF2" s="17">
        <f t="shared" si="4"/>
        <v>0</v>
      </c>
      <c r="BG2" s="17">
        <f>BF2-$BF$92</f>
        <v>0</v>
      </c>
      <c r="BH2" s="18">
        <f t="shared" si="5"/>
        <v>0</v>
      </c>
      <c r="BI2" s="6">
        <f>BH2-$BH$92</f>
        <v>0</v>
      </c>
      <c r="BJ2" s="19">
        <f t="shared" si="6"/>
        <v>0</v>
      </c>
      <c r="BK2" s="19">
        <f>BJ2-$BJ$92</f>
        <v>0</v>
      </c>
      <c r="BL2" s="20">
        <f t="shared" si="7"/>
        <v>0</v>
      </c>
      <c r="BM2" s="21">
        <f>BL2-$BL$92</f>
        <v>0</v>
      </c>
      <c r="BN2" s="22">
        <f t="shared" si="8"/>
        <v>0</v>
      </c>
      <c r="BO2" s="22">
        <f>BN2-$BN$93</f>
        <v>0</v>
      </c>
      <c r="BP2" s="23">
        <f t="shared" si="9"/>
        <v>0</v>
      </c>
      <c r="BQ2" s="24">
        <f>BP2-$BP$93</f>
        <v>0</v>
      </c>
      <c r="BS2" s="124" t="s">
        <v>17</v>
      </c>
      <c r="BT2" s="126" t="s">
        <v>18</v>
      </c>
      <c r="BU2" s="127"/>
      <c r="BV2" s="29">
        <v>5451</v>
      </c>
      <c r="BW2" s="30" t="e">
        <f t="shared" ref="BW2" si="11">#REF!</f>
        <v>#REF!</v>
      </c>
      <c r="BX2" s="31">
        <v>1</v>
      </c>
      <c r="BY2"/>
      <c r="BZ2"/>
      <c r="CA2"/>
      <c r="CB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</row>
    <row r="3" spans="1:104" ht="25" customHeight="1" thickTop="1" thickBot="1">
      <c r="A3" s="134" t="s">
        <v>19</v>
      </c>
      <c r="B3" s="32" t="s">
        <v>30</v>
      </c>
      <c r="C3" s="33" t="s">
        <v>26</v>
      </c>
      <c r="D3" s="34" t="s">
        <v>45</v>
      </c>
      <c r="E3" s="34" t="s">
        <v>27</v>
      </c>
      <c r="F3" s="35" t="s">
        <v>60</v>
      </c>
      <c r="G3" s="36" t="s">
        <v>20</v>
      </c>
      <c r="H3" s="37" t="s">
        <v>21</v>
      </c>
      <c r="I3" s="37" t="s">
        <v>43</v>
      </c>
      <c r="J3" s="38" t="s">
        <v>4</v>
      </c>
      <c r="K3" s="90" t="s">
        <v>57</v>
      </c>
      <c r="L3" s="136" t="s">
        <v>58</v>
      </c>
      <c r="M3" s="138" t="s">
        <v>62</v>
      </c>
      <c r="N3" s="140" t="s">
        <v>22</v>
      </c>
      <c r="O3" s="140" t="s">
        <v>22</v>
      </c>
      <c r="P3" s="108" t="s">
        <v>22</v>
      </c>
      <c r="Q3" s="110" t="s">
        <v>41</v>
      </c>
      <c r="R3" s="111"/>
      <c r="S3" s="111"/>
      <c r="T3" s="111"/>
      <c r="U3" s="111"/>
      <c r="V3" s="112"/>
      <c r="W3" s="128" t="s">
        <v>32</v>
      </c>
      <c r="AH3" s="9"/>
      <c r="AI3" s="9"/>
      <c r="AJ3" s="9"/>
      <c r="AK3" s="39">
        <v>200</v>
      </c>
      <c r="AL3" s="31">
        <v>250</v>
      </c>
      <c r="AM3" s="40">
        <f>AK3*AL3*0.01*0.01</f>
        <v>5</v>
      </c>
      <c r="AN3" s="41">
        <f t="shared" ref="AN3:AN7" si="12">AM3*$AN$109</f>
        <v>0</v>
      </c>
      <c r="AO3" s="41">
        <v>529.35</v>
      </c>
      <c r="AP3" s="31"/>
      <c r="AQ3" s="6">
        <f t="shared" si="0"/>
        <v>0</v>
      </c>
      <c r="AR3" s="7">
        <f t="shared" si="1"/>
        <v>0</v>
      </c>
      <c r="AS3" s="8">
        <f t="shared" si="2"/>
        <v>0</v>
      </c>
      <c r="AT3" s="9"/>
      <c r="AU3" s="9"/>
      <c r="AV3" s="9"/>
      <c r="AW3" s="9"/>
      <c r="AY3" s="11">
        <v>500</v>
      </c>
      <c r="AZ3" s="12">
        <v>800</v>
      </c>
      <c r="BA3" s="12">
        <f t="shared" si="3"/>
        <v>0.4</v>
      </c>
      <c r="BB3" s="13">
        <v>68.400000000000006</v>
      </c>
      <c r="BC3" s="14">
        <v>95</v>
      </c>
      <c r="BD3" s="15">
        <v>27.5</v>
      </c>
      <c r="BE3" s="16">
        <f>$D$6</f>
        <v>1</v>
      </c>
      <c r="BF3" s="17">
        <f t="shared" si="4"/>
        <v>0</v>
      </c>
      <c r="BG3" s="17">
        <f>BF3-$BF$92</f>
        <v>0</v>
      </c>
      <c r="BH3" s="18">
        <f t="shared" si="5"/>
        <v>0</v>
      </c>
      <c r="BI3" s="6">
        <f>BH3-$BH$92</f>
        <v>0</v>
      </c>
      <c r="BJ3" s="19">
        <f t="shared" si="6"/>
        <v>0</v>
      </c>
      <c r="BK3" s="19">
        <f>BJ3-$BJ$92</f>
        <v>0</v>
      </c>
      <c r="BL3" s="20">
        <f t="shared" si="7"/>
        <v>0</v>
      </c>
      <c r="BM3" s="21">
        <f>BL3-$BL$92</f>
        <v>0</v>
      </c>
      <c r="BN3" s="22">
        <f t="shared" si="8"/>
        <v>0</v>
      </c>
      <c r="BO3" s="22">
        <f>BN3-$BN$93</f>
        <v>0</v>
      </c>
      <c r="BP3" s="23">
        <f t="shared" si="9"/>
        <v>0</v>
      </c>
      <c r="BQ3" s="24">
        <f>BP3-$BP$93</f>
        <v>0</v>
      </c>
      <c r="BS3" s="125"/>
      <c r="BT3" s="130" t="s">
        <v>8</v>
      </c>
      <c r="BU3" s="131"/>
      <c r="BV3" s="25">
        <v>5452</v>
      </c>
      <c r="BW3" s="26" t="e">
        <f t="shared" ref="BW3" si="13">#REF!</f>
        <v>#REF!</v>
      </c>
      <c r="BX3" s="27">
        <v>1</v>
      </c>
      <c r="BY3" s="9"/>
      <c r="BZ3" s="9"/>
      <c r="CA3" s="9"/>
      <c r="CB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</row>
    <row r="4" spans="1:104" s="9" customFormat="1" ht="25" customHeight="1" thickBot="1">
      <c r="A4" s="135"/>
      <c r="B4" s="42">
        <v>50</v>
      </c>
      <c r="C4" s="43">
        <v>200</v>
      </c>
      <c r="D4" s="44">
        <f>B4*C4*0.01*0.01</f>
        <v>1</v>
      </c>
      <c r="E4" s="45">
        <v>1</v>
      </c>
      <c r="F4" s="46" t="s">
        <v>23</v>
      </c>
      <c r="G4" s="46" t="s">
        <v>23</v>
      </c>
      <c r="H4" s="47" t="s">
        <v>23</v>
      </c>
      <c r="I4" s="47" t="s">
        <v>23</v>
      </c>
      <c r="J4" s="48" t="s">
        <v>61</v>
      </c>
      <c r="K4" s="46" t="s">
        <v>23</v>
      </c>
      <c r="L4" s="137"/>
      <c r="M4" s="139"/>
      <c r="N4" s="141"/>
      <c r="O4" s="141"/>
      <c r="P4" s="109"/>
      <c r="Q4" s="113"/>
      <c r="R4" s="114"/>
      <c r="S4" s="114"/>
      <c r="T4" s="114"/>
      <c r="U4" s="114"/>
      <c r="V4" s="115"/>
      <c r="W4" s="129"/>
      <c r="X4"/>
      <c r="Y4"/>
      <c r="Z4"/>
      <c r="AA4"/>
      <c r="AB4"/>
      <c r="AC4"/>
      <c r="AD4"/>
      <c r="AE4"/>
      <c r="AF4"/>
      <c r="AG4"/>
      <c r="AK4" s="49">
        <v>200</v>
      </c>
      <c r="AL4" s="12">
        <v>280</v>
      </c>
      <c r="AM4" s="50">
        <f t="shared" ref="AM4:AM7" si="14">AK4*AL4*0.01*0.01</f>
        <v>5.6000000000000005</v>
      </c>
      <c r="AN4" s="51">
        <f t="shared" si="12"/>
        <v>0</v>
      </c>
      <c r="AO4" s="51">
        <v>592.9</v>
      </c>
      <c r="AP4" s="52">
        <f t="shared" ref="AP4:AP7" si="15">AO4-$AO$111</f>
        <v>592.9</v>
      </c>
      <c r="AQ4" s="6">
        <f t="shared" si="0"/>
        <v>0</v>
      </c>
      <c r="AR4" s="7">
        <f t="shared" si="1"/>
        <v>0</v>
      </c>
      <c r="AS4" s="8">
        <f t="shared" si="2"/>
        <v>0</v>
      </c>
      <c r="AY4" s="11">
        <v>500</v>
      </c>
      <c r="AZ4" s="12">
        <v>1000</v>
      </c>
      <c r="BA4" s="12">
        <f t="shared" si="3"/>
        <v>0.5</v>
      </c>
      <c r="BB4" s="13">
        <v>77.900000000000006</v>
      </c>
      <c r="BC4" s="14">
        <v>111.2</v>
      </c>
      <c r="BD4" s="15">
        <v>31.7</v>
      </c>
      <c r="BE4" s="16">
        <f>$D$6</f>
        <v>1</v>
      </c>
      <c r="BF4" s="17">
        <f t="shared" si="4"/>
        <v>0</v>
      </c>
      <c r="BG4" s="17">
        <f>BF4-$BF$92</f>
        <v>0</v>
      </c>
      <c r="BH4" s="18">
        <f t="shared" si="5"/>
        <v>0</v>
      </c>
      <c r="BI4" s="6">
        <f>BH4-$BH$92</f>
        <v>0</v>
      </c>
      <c r="BJ4" s="19">
        <f t="shared" si="6"/>
        <v>0</v>
      </c>
      <c r="BK4" s="19">
        <f>BJ4-$BJ$92</f>
        <v>0</v>
      </c>
      <c r="BL4" s="20">
        <f t="shared" si="7"/>
        <v>0</v>
      </c>
      <c r="BM4" s="21">
        <f>BL4-$BL$92</f>
        <v>0</v>
      </c>
      <c r="BN4" s="22">
        <f t="shared" si="8"/>
        <v>0</v>
      </c>
      <c r="BO4" s="22">
        <f>BN4-$BN$93</f>
        <v>0</v>
      </c>
      <c r="BP4" s="23">
        <f t="shared" si="9"/>
        <v>0</v>
      </c>
      <c r="BQ4" s="24">
        <f>BP4-$BP$93</f>
        <v>0</v>
      </c>
      <c r="CF4"/>
    </row>
    <row r="5" spans="1:104" s="9" customFormat="1" ht="25" customHeight="1" thickTop="1" thickBot="1">
      <c r="A5" s="101" t="s">
        <v>24</v>
      </c>
      <c r="B5" s="102" t="s">
        <v>29</v>
      </c>
      <c r="C5" s="102" t="s">
        <v>28</v>
      </c>
      <c r="D5" s="102" t="s">
        <v>44</v>
      </c>
      <c r="E5" s="53" t="s">
        <v>67</v>
      </c>
      <c r="F5" s="54">
        <f>(E4*G5)-((E4-1)*P5)</f>
        <v>105.49053000000001</v>
      </c>
      <c r="G5" s="55">
        <f>(IF(E4&gt;=V6,D4*Q5*C2*V5*$S$2,IF(E4&gt;=U6,D4*Q5*C2*U5*$S$2,IF(E4&gt;=T6,D4*Q5*C2*T5*$S$2,IF(E4&gt;=S6,(D4*Q5*C2*S5*$S$2),IF(E4&gt;=R6,D4*Q5*C2*R5*$S$2,IF(E4&gt;=Q6,D4*Q5*C2*$S$2))))))*L5*M5*N5*O5)+P5</f>
        <v>105.49053000000001</v>
      </c>
      <c r="H5" s="56">
        <f>(D4*J5*E4)+(P6)</f>
        <v>54.63</v>
      </c>
      <c r="I5" s="56">
        <f>(D4*J5)+(P6)</f>
        <v>54.63</v>
      </c>
      <c r="J5" s="56">
        <f>(IF(E4&gt;=V6,Q5,IF(E4&gt;=U6,Q5,IF(E4&gt;=T6,Q5,IF(E4&gt;=S6,Q5,IF(E4&gt;=R6,Q5,IF(E4&gt;=Q6,Q5,))))))*L5*M5*N5*O5)</f>
        <v>54.63</v>
      </c>
      <c r="K5" s="57">
        <f>F5-H5</f>
        <v>50.860530000000004</v>
      </c>
      <c r="L5" s="58" t="str">
        <f>IF(OR(B4&lt;B6,C4&lt;B6),"zu schmal",IF(OR(B4=V7,C4=V7),"1",IF(OR(B4=U7,C4=U7),"1",IF(OR(B4=T7,C4=T7),"1",IF(OR(B4=S7,C4=S7),"1",IF(OR(B4=R7,C4=R7),"1",IF(OR(B4=Q7,C4=Q7),"1","1,25")))))))</f>
        <v>1</v>
      </c>
      <c r="M5" s="58" t="str">
        <f>IF(AND(B4&gt;V7,C4=C6),"Matte zu breit",IF(AND(B4&gt;V7,C4&gt;V7),"Matte zu breit",IF(AND(B4&lt;=V7,C4&gt;C6),"Matte zu lang",IF(AND(B4&gt;C6,C4&lt;=V7),"Matte zu lang","1"))))</f>
        <v>1</v>
      </c>
      <c r="N5" s="72" t="str">
        <f>IF(($N$3="X"),"1,3","1")</f>
        <v>1</v>
      </c>
      <c r="O5" s="72" t="str">
        <f>IF(($O$3="X"),"1,5","1")</f>
        <v>1</v>
      </c>
      <c r="P5" s="99" t="str">
        <f>IF(($P$3="X"),"68","0")</f>
        <v>0</v>
      </c>
      <c r="Q5" s="95">
        <v>54.63</v>
      </c>
      <c r="R5" s="78">
        <v>0.95</v>
      </c>
      <c r="S5" s="79">
        <v>0.92</v>
      </c>
      <c r="T5" s="78">
        <v>0.9</v>
      </c>
      <c r="U5" s="78">
        <v>0.89</v>
      </c>
      <c r="V5" s="80">
        <v>0.88</v>
      </c>
      <c r="W5" s="81">
        <v>0.95</v>
      </c>
      <c r="X5"/>
      <c r="Y5"/>
      <c r="Z5"/>
      <c r="AA5"/>
      <c r="AB5"/>
      <c r="AC5"/>
      <c r="AD5"/>
      <c r="AE5"/>
      <c r="AF5"/>
      <c r="AG5"/>
      <c r="AK5" s="49">
        <v>200</v>
      </c>
      <c r="AL5" s="12">
        <v>300</v>
      </c>
      <c r="AM5" s="50">
        <f t="shared" si="14"/>
        <v>6</v>
      </c>
      <c r="AN5" s="51">
        <f t="shared" si="12"/>
        <v>0</v>
      </c>
      <c r="AO5" s="51">
        <v>635.20000000000005</v>
      </c>
      <c r="AP5" s="52">
        <f t="shared" si="15"/>
        <v>635.20000000000005</v>
      </c>
      <c r="AQ5" s="6">
        <f t="shared" si="0"/>
        <v>0</v>
      </c>
      <c r="AR5" s="7">
        <f t="shared" si="1"/>
        <v>0</v>
      </c>
      <c r="AS5" s="8">
        <f t="shared" si="2"/>
        <v>0</v>
      </c>
      <c r="AY5" s="11">
        <v>600</v>
      </c>
      <c r="AZ5" s="12">
        <v>1000</v>
      </c>
      <c r="BA5" s="12">
        <f t="shared" si="3"/>
        <v>0.6</v>
      </c>
      <c r="BB5" s="13">
        <v>86.9</v>
      </c>
      <c r="BC5" s="14">
        <v>128.9</v>
      </c>
      <c r="BD5" s="15">
        <v>33.799999999999997</v>
      </c>
      <c r="BE5" s="16">
        <f>$D$6</f>
        <v>1</v>
      </c>
      <c r="BF5" s="17">
        <f t="shared" si="4"/>
        <v>0</v>
      </c>
      <c r="BG5" s="17">
        <f>BF5-$BF$92</f>
        <v>0</v>
      </c>
      <c r="BH5" s="18">
        <f t="shared" si="5"/>
        <v>0</v>
      </c>
      <c r="BI5" s="6">
        <f>BH5-$BH$92</f>
        <v>0</v>
      </c>
      <c r="BJ5" s="19">
        <f t="shared" si="6"/>
        <v>0</v>
      </c>
      <c r="BK5" s="19">
        <f>BJ5-$BJ$92</f>
        <v>0</v>
      </c>
      <c r="BL5" s="20">
        <f t="shared" si="7"/>
        <v>0</v>
      </c>
      <c r="BM5" s="21">
        <f>BL5-$BL$92</f>
        <v>0</v>
      </c>
      <c r="BN5" s="22">
        <f t="shared" si="8"/>
        <v>0</v>
      </c>
      <c r="BO5" s="22">
        <f>BN5-$BN$93</f>
        <v>0</v>
      </c>
      <c r="BP5" s="23">
        <f t="shared" si="9"/>
        <v>0</v>
      </c>
      <c r="BQ5" s="24">
        <f>BP5-$BP$93</f>
        <v>0</v>
      </c>
      <c r="BY5"/>
      <c r="BZ5"/>
      <c r="CA5"/>
      <c r="CB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</row>
    <row r="6" spans="1:104" ht="25" customHeight="1" thickTop="1" thickBot="1">
      <c r="A6" s="143" t="s">
        <v>25</v>
      </c>
      <c r="B6" s="145">
        <v>30</v>
      </c>
      <c r="C6" s="145">
        <v>700</v>
      </c>
      <c r="D6" s="147">
        <f>D4*E4</f>
        <v>1</v>
      </c>
      <c r="E6" s="149">
        <f>IF(E4&gt;=Q6,D4*Q5*C2*$S$2)+P5</f>
        <v>105.49053000000001</v>
      </c>
      <c r="F6" s="59"/>
      <c r="G6" s="59"/>
      <c r="H6" s="59"/>
      <c r="I6" s="59"/>
      <c r="J6" s="59"/>
      <c r="K6" s="59"/>
      <c r="L6" s="59"/>
      <c r="M6" s="59"/>
      <c r="N6" s="59"/>
      <c r="O6" s="71"/>
      <c r="P6" s="98" t="str">
        <f>IF(($P$3="X"),"50","0")</f>
        <v>0</v>
      </c>
      <c r="Q6" s="96">
        <v>1</v>
      </c>
      <c r="R6" s="87">
        <v>2</v>
      </c>
      <c r="S6" s="87">
        <v>3</v>
      </c>
      <c r="T6" s="87">
        <v>10</v>
      </c>
      <c r="U6" s="87">
        <v>20</v>
      </c>
      <c r="V6" s="87">
        <v>30</v>
      </c>
      <c r="W6" s="82" t="s">
        <v>34</v>
      </c>
      <c r="AK6" s="49">
        <v>200</v>
      </c>
      <c r="AL6" s="12">
        <v>320</v>
      </c>
      <c r="AM6" s="50">
        <f t="shared" si="14"/>
        <v>6.4</v>
      </c>
      <c r="AN6" s="51">
        <f t="shared" si="12"/>
        <v>0</v>
      </c>
      <c r="AO6" s="51">
        <v>677.55</v>
      </c>
      <c r="AP6" s="52">
        <f t="shared" si="15"/>
        <v>677.55</v>
      </c>
      <c r="AQ6" s="6">
        <f t="shared" si="0"/>
        <v>0</v>
      </c>
      <c r="AR6" s="7">
        <f t="shared" si="1"/>
        <v>0</v>
      </c>
      <c r="AS6" s="8">
        <f t="shared" si="2"/>
        <v>0</v>
      </c>
      <c r="AT6" s="9"/>
      <c r="AU6" s="9"/>
      <c r="AY6" s="60" t="s">
        <v>22</v>
      </c>
      <c r="AZ6" s="27" t="s">
        <v>22</v>
      </c>
      <c r="BA6" s="27" t="s">
        <v>22</v>
      </c>
      <c r="BB6" s="61" t="s">
        <v>22</v>
      </c>
      <c r="BC6" s="62" t="s">
        <v>22</v>
      </c>
      <c r="BD6" s="15" t="s">
        <v>22</v>
      </c>
      <c r="BE6" s="63" t="s">
        <v>22</v>
      </c>
      <c r="BF6" s="64" t="s">
        <v>22</v>
      </c>
      <c r="BG6" s="64" t="s">
        <v>22</v>
      </c>
      <c r="BH6" s="65" t="s">
        <v>22</v>
      </c>
      <c r="BI6" s="65" t="s">
        <v>22</v>
      </c>
      <c r="BJ6" s="66" t="s">
        <v>22</v>
      </c>
      <c r="BK6" s="66" t="s">
        <v>22</v>
      </c>
      <c r="BL6" s="67" t="s">
        <v>22</v>
      </c>
      <c r="BM6" s="67" t="s">
        <v>22</v>
      </c>
      <c r="BN6" s="62" t="s">
        <v>22</v>
      </c>
      <c r="BO6" s="62" t="s">
        <v>22</v>
      </c>
      <c r="BP6" s="68" t="s">
        <v>22</v>
      </c>
      <c r="BQ6" s="68" t="s">
        <v>22</v>
      </c>
      <c r="BY6" s="9"/>
      <c r="BZ6" s="9"/>
      <c r="CA6" s="9"/>
      <c r="CB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</row>
    <row r="7" spans="1:104" s="9" customFormat="1" ht="25" customHeight="1" thickTop="1" thickBot="1">
      <c r="A7" s="144"/>
      <c r="B7" s="146"/>
      <c r="C7" s="146"/>
      <c r="D7" s="148"/>
      <c r="E7" s="150"/>
      <c r="F7" s="103"/>
      <c r="G7" s="104"/>
      <c r="H7" s="104"/>
      <c r="I7" s="104"/>
      <c r="J7" s="104"/>
      <c r="K7" s="104"/>
      <c r="L7" s="103"/>
      <c r="M7" s="103"/>
      <c r="N7" s="103"/>
      <c r="O7" s="103"/>
      <c r="P7" s="105" t="s">
        <v>22</v>
      </c>
      <c r="Q7" s="97">
        <v>60</v>
      </c>
      <c r="R7" s="83">
        <v>75</v>
      </c>
      <c r="S7" s="83">
        <v>85</v>
      </c>
      <c r="T7" s="83">
        <v>115</v>
      </c>
      <c r="U7" s="83">
        <v>150</v>
      </c>
      <c r="V7" s="83">
        <v>200</v>
      </c>
      <c r="W7" s="84" t="s">
        <v>33</v>
      </c>
      <c r="X7"/>
      <c r="Y7"/>
      <c r="Z7"/>
      <c r="AA7"/>
      <c r="AB7"/>
      <c r="AC7"/>
      <c r="AD7"/>
      <c r="AE7"/>
      <c r="AF7"/>
      <c r="AG7"/>
      <c r="AK7" s="49">
        <v>200</v>
      </c>
      <c r="AL7" s="12">
        <v>350</v>
      </c>
      <c r="AM7" s="50">
        <f t="shared" si="14"/>
        <v>7</v>
      </c>
      <c r="AN7" s="51">
        <f t="shared" si="12"/>
        <v>0</v>
      </c>
      <c r="AO7" s="51">
        <v>741.1</v>
      </c>
      <c r="AP7" s="52">
        <f t="shared" si="15"/>
        <v>741.1</v>
      </c>
      <c r="AQ7" s="65" t="e">
        <f>#REF!*$AR$106</f>
        <v>#REF!</v>
      </c>
      <c r="AR7" s="7" t="e">
        <f t="shared" si="1"/>
        <v>#REF!</v>
      </c>
      <c r="AS7" s="8" t="e">
        <f>$AS$106*#REF!</f>
        <v>#REF!</v>
      </c>
      <c r="CF7"/>
    </row>
    <row r="11" spans="1:104" s="89" customFormat="1" ht="24">
      <c r="A11" s="89" t="s">
        <v>97</v>
      </c>
      <c r="B11" s="89" t="s">
        <v>98</v>
      </c>
      <c r="J11" s="89" t="s">
        <v>51</v>
      </c>
      <c r="K11" s="89" t="s">
        <v>103</v>
      </c>
    </row>
    <row r="12" spans="1:104" s="89" customFormat="1" ht="24">
      <c r="A12" s="89" t="s">
        <v>95</v>
      </c>
      <c r="B12" s="142" t="s">
        <v>96</v>
      </c>
      <c r="C12" s="142"/>
      <c r="D12" s="142"/>
      <c r="E12" s="142"/>
      <c r="F12" s="142"/>
      <c r="J12" s="89" t="s">
        <v>63</v>
      </c>
      <c r="K12" s="89" t="s">
        <v>64</v>
      </c>
    </row>
    <row r="13" spans="1:104" s="89" customFormat="1" ht="24">
      <c r="A13" s="89" t="s">
        <v>56</v>
      </c>
      <c r="B13" s="89" t="s">
        <v>99</v>
      </c>
      <c r="J13" s="89" t="s">
        <v>52</v>
      </c>
      <c r="K13" s="89" t="s">
        <v>83</v>
      </c>
    </row>
    <row r="14" spans="1:104" s="89" customFormat="1" ht="24">
      <c r="A14" s="89" t="s">
        <v>48</v>
      </c>
      <c r="B14" s="89" t="s">
        <v>100</v>
      </c>
      <c r="J14" s="89" t="s">
        <v>68</v>
      </c>
      <c r="K14" s="89" t="s">
        <v>84</v>
      </c>
    </row>
    <row r="15" spans="1:104" s="89" customFormat="1" ht="24">
      <c r="A15" s="89" t="s">
        <v>101</v>
      </c>
      <c r="B15" s="89" t="s">
        <v>74</v>
      </c>
      <c r="J15" s="107" t="s">
        <v>85</v>
      </c>
      <c r="K15" s="107" t="s">
        <v>86</v>
      </c>
      <c r="L15" s="107"/>
      <c r="M15" s="107"/>
      <c r="N15" s="107"/>
      <c r="O15" s="107"/>
      <c r="P15" s="107"/>
    </row>
    <row r="16" spans="1:104" s="89" customFormat="1" ht="24">
      <c r="A16" s="89" t="s">
        <v>49</v>
      </c>
      <c r="B16" s="89" t="s">
        <v>94</v>
      </c>
      <c r="J16" s="107" t="s">
        <v>70</v>
      </c>
      <c r="K16" s="107" t="s">
        <v>104</v>
      </c>
      <c r="L16" s="107"/>
      <c r="M16" s="107"/>
      <c r="N16" s="107"/>
      <c r="O16" s="107"/>
      <c r="P16" s="107"/>
    </row>
    <row r="17" spans="1:18" s="89" customFormat="1" ht="24">
      <c r="A17" s="89" t="s">
        <v>50</v>
      </c>
      <c r="B17" s="89" t="s">
        <v>75</v>
      </c>
      <c r="J17" s="107" t="s">
        <v>87</v>
      </c>
      <c r="K17" s="107" t="s">
        <v>88</v>
      </c>
      <c r="L17" s="107"/>
      <c r="M17" s="107"/>
      <c r="N17" s="107"/>
      <c r="O17" s="107"/>
      <c r="P17" s="107"/>
    </row>
    <row r="18" spans="1:18" s="89" customFormat="1" ht="24">
      <c r="A18" s="89" t="s">
        <v>70</v>
      </c>
      <c r="B18" s="89" t="s">
        <v>76</v>
      </c>
      <c r="J18" s="107" t="s">
        <v>46</v>
      </c>
      <c r="K18" s="107" t="s">
        <v>89</v>
      </c>
      <c r="L18" s="107"/>
      <c r="M18" s="107"/>
      <c r="N18" s="107"/>
      <c r="O18" s="107"/>
    </row>
    <row r="19" spans="1:18" s="89" customFormat="1" ht="24">
      <c r="A19" s="89" t="s">
        <v>46</v>
      </c>
      <c r="B19" s="89" t="s">
        <v>79</v>
      </c>
      <c r="J19" s="107" t="s">
        <v>47</v>
      </c>
      <c r="K19" s="107" t="s">
        <v>90</v>
      </c>
      <c r="L19" s="107"/>
      <c r="M19" s="107"/>
      <c r="N19" s="107"/>
      <c r="O19" s="107"/>
    </row>
    <row r="20" spans="1:18" s="89" customFormat="1" ht="23" customHeight="1">
      <c r="A20" s="89" t="s">
        <v>47</v>
      </c>
      <c r="B20" s="89" t="s">
        <v>78</v>
      </c>
      <c r="J20" s="89" t="s">
        <v>53</v>
      </c>
      <c r="K20" s="89" t="s">
        <v>55</v>
      </c>
    </row>
    <row r="21" spans="1:18" s="89" customFormat="1" ht="24">
      <c r="A21" s="89" t="s">
        <v>59</v>
      </c>
      <c r="B21" s="142" t="s">
        <v>73</v>
      </c>
      <c r="C21" s="142"/>
      <c r="D21" s="142"/>
      <c r="E21" s="142"/>
      <c r="F21" s="142"/>
      <c r="G21" s="91"/>
      <c r="J21" s="89" t="s">
        <v>72</v>
      </c>
      <c r="K21" s="89" t="s">
        <v>54</v>
      </c>
    </row>
    <row r="22" spans="1:18" s="89" customFormat="1" ht="24">
      <c r="A22" s="89" t="s">
        <v>69</v>
      </c>
      <c r="B22" s="89" t="s">
        <v>102</v>
      </c>
      <c r="J22" s="89" t="s">
        <v>71</v>
      </c>
      <c r="K22" s="89" t="s">
        <v>91</v>
      </c>
    </row>
    <row r="23" spans="1:18" s="89" customFormat="1" ht="23" customHeight="1">
      <c r="A23" s="89" t="s">
        <v>82</v>
      </c>
      <c r="B23" s="89" t="s">
        <v>77</v>
      </c>
      <c r="J23" s="107" t="s">
        <v>53</v>
      </c>
      <c r="K23" s="107" t="s">
        <v>55</v>
      </c>
      <c r="L23" s="107"/>
      <c r="M23" s="107"/>
      <c r="N23" s="107"/>
      <c r="O23" s="107"/>
      <c r="P23" s="107"/>
    </row>
    <row r="24" spans="1:18" s="89" customFormat="1" ht="24">
      <c r="A24" s="89" t="s">
        <v>80</v>
      </c>
      <c r="B24" s="142" t="s">
        <v>81</v>
      </c>
      <c r="C24" s="142"/>
      <c r="D24" s="142"/>
      <c r="E24" s="142"/>
      <c r="F24" s="142"/>
      <c r="J24" s="107" t="s">
        <v>92</v>
      </c>
      <c r="K24" s="107" t="s">
        <v>93</v>
      </c>
      <c r="L24" s="107"/>
      <c r="M24" s="107"/>
      <c r="N24" s="107"/>
      <c r="O24" s="107"/>
      <c r="P24" s="107"/>
    </row>
    <row r="25" spans="1:18" s="89" customFormat="1" ht="24">
      <c r="J25" s="89" t="s">
        <v>22</v>
      </c>
      <c r="K25" s="89" t="s">
        <v>22</v>
      </c>
    </row>
    <row r="26" spans="1:18" s="89" customFormat="1" ht="24">
      <c r="A26" s="89" t="s">
        <v>97</v>
      </c>
      <c r="B26" s="89" t="s">
        <v>98</v>
      </c>
      <c r="I26" s="106"/>
      <c r="J26" s="89" t="s">
        <v>51</v>
      </c>
      <c r="K26" s="106" t="s">
        <v>117</v>
      </c>
      <c r="L26" s="106"/>
      <c r="M26" s="106"/>
      <c r="N26" s="106"/>
      <c r="O26" s="106"/>
      <c r="P26" s="106"/>
      <c r="Q26" s="106"/>
      <c r="R26" s="106"/>
    </row>
    <row r="27" spans="1:18" s="89" customFormat="1" ht="24">
      <c r="A27" s="89" t="s">
        <v>95</v>
      </c>
      <c r="B27" s="142" t="s">
        <v>105</v>
      </c>
      <c r="C27" s="142"/>
      <c r="D27" s="142"/>
      <c r="E27" s="142"/>
      <c r="F27" s="142"/>
      <c r="I27" s="106"/>
      <c r="J27" s="89" t="s">
        <v>63</v>
      </c>
      <c r="K27" s="106" t="s">
        <v>118</v>
      </c>
      <c r="L27" s="106"/>
      <c r="M27" s="106"/>
      <c r="N27" s="106"/>
      <c r="O27" s="106"/>
      <c r="P27" s="106"/>
      <c r="Q27" s="106"/>
      <c r="R27" s="106"/>
    </row>
    <row r="28" spans="1:18" s="89" customFormat="1" ht="24">
      <c r="A28" s="89" t="s">
        <v>56</v>
      </c>
      <c r="B28" s="89" t="s">
        <v>106</v>
      </c>
      <c r="J28" s="89" t="s">
        <v>52</v>
      </c>
      <c r="K28" s="106" t="s">
        <v>119</v>
      </c>
      <c r="L28" s="106"/>
      <c r="M28" s="106"/>
      <c r="N28" s="106"/>
      <c r="O28" s="106"/>
      <c r="P28" s="106"/>
      <c r="Q28" s="106"/>
      <c r="R28" s="106"/>
    </row>
    <row r="29" spans="1:18" s="89" customFormat="1" ht="24">
      <c r="A29" s="89" t="s">
        <v>48</v>
      </c>
      <c r="B29" s="89" t="s">
        <v>107</v>
      </c>
      <c r="J29" s="89" t="s">
        <v>68</v>
      </c>
      <c r="K29" s="106" t="s">
        <v>120</v>
      </c>
      <c r="L29" s="106"/>
      <c r="M29" s="106"/>
      <c r="N29" s="106"/>
      <c r="O29" s="106"/>
      <c r="P29" s="106"/>
      <c r="Q29" s="106"/>
      <c r="R29" s="106"/>
    </row>
    <row r="30" spans="1:18" ht="24">
      <c r="A30" s="89" t="s">
        <v>101</v>
      </c>
      <c r="B30" s="89" t="s">
        <v>108</v>
      </c>
      <c r="C30" s="89"/>
      <c r="D30" s="89"/>
      <c r="E30" s="89"/>
      <c r="F30" s="89"/>
      <c r="G30" s="89"/>
      <c r="H30" s="89"/>
      <c r="I30" s="89"/>
      <c r="J30" s="107" t="s">
        <v>85</v>
      </c>
      <c r="K30" s="106" t="s">
        <v>121</v>
      </c>
      <c r="L30" s="106"/>
      <c r="M30" s="106"/>
      <c r="N30" s="106"/>
      <c r="O30" s="106"/>
      <c r="P30" s="106"/>
      <c r="Q30" s="106"/>
      <c r="R30" s="106"/>
    </row>
    <row r="31" spans="1:18" ht="24">
      <c r="A31" s="89" t="s">
        <v>49</v>
      </c>
      <c r="B31" s="89" t="s">
        <v>109</v>
      </c>
      <c r="C31" s="89"/>
      <c r="D31" s="89"/>
      <c r="E31" s="89"/>
      <c r="F31" s="89"/>
      <c r="G31" s="89"/>
      <c r="H31" s="89"/>
      <c r="I31" s="89"/>
      <c r="J31" s="107" t="s">
        <v>70</v>
      </c>
      <c r="K31" s="106" t="s">
        <v>122</v>
      </c>
      <c r="L31" s="106"/>
      <c r="M31" s="106"/>
      <c r="N31" s="106"/>
      <c r="O31" s="106"/>
      <c r="P31" s="106"/>
      <c r="Q31" s="106"/>
      <c r="R31" s="106"/>
    </row>
    <row r="32" spans="1:18" ht="24">
      <c r="A32" s="89" t="s">
        <v>50</v>
      </c>
      <c r="B32" s="89" t="s">
        <v>110</v>
      </c>
      <c r="C32" s="89"/>
      <c r="D32" s="89"/>
      <c r="E32" s="89"/>
      <c r="F32" s="89"/>
      <c r="G32" s="89"/>
      <c r="H32" s="89"/>
      <c r="I32" s="89"/>
      <c r="J32" s="107" t="s">
        <v>87</v>
      </c>
      <c r="K32" s="106" t="s">
        <v>123</v>
      </c>
      <c r="L32" s="106"/>
      <c r="M32" s="106"/>
      <c r="N32" s="106"/>
      <c r="O32" s="106"/>
      <c r="P32" s="106"/>
      <c r="Q32" s="106"/>
      <c r="R32" s="106"/>
    </row>
    <row r="33" spans="1:18" ht="24">
      <c r="A33" s="89" t="s">
        <v>70</v>
      </c>
      <c r="B33" s="89" t="s">
        <v>111</v>
      </c>
      <c r="C33" s="89"/>
      <c r="D33" s="89"/>
      <c r="E33" s="89"/>
      <c r="F33" s="89"/>
      <c r="G33" s="89"/>
      <c r="H33" s="89"/>
      <c r="I33" s="89"/>
      <c r="J33" s="107" t="s">
        <v>46</v>
      </c>
      <c r="K33" s="106" t="s">
        <v>124</v>
      </c>
      <c r="L33" s="106"/>
      <c r="M33" s="106"/>
      <c r="N33" s="106"/>
      <c r="O33" s="106"/>
      <c r="P33" s="106"/>
      <c r="Q33" s="106"/>
      <c r="R33" s="106"/>
    </row>
    <row r="34" spans="1:18" ht="24">
      <c r="A34" s="89" t="s">
        <v>46</v>
      </c>
      <c r="B34" s="89" t="s">
        <v>112</v>
      </c>
      <c r="C34" s="89"/>
      <c r="D34" s="89"/>
      <c r="E34" s="89"/>
      <c r="F34" s="89"/>
      <c r="G34" s="89"/>
      <c r="H34" s="89"/>
      <c r="I34" s="89"/>
      <c r="J34" s="107" t="s">
        <v>47</v>
      </c>
      <c r="K34" s="106" t="s">
        <v>125</v>
      </c>
      <c r="L34" s="106"/>
      <c r="M34" s="106"/>
      <c r="N34" s="106"/>
      <c r="O34" s="106"/>
      <c r="P34" s="106"/>
      <c r="Q34" s="106"/>
      <c r="R34" s="106"/>
    </row>
    <row r="35" spans="1:18" ht="24">
      <c r="A35" s="89" t="s">
        <v>47</v>
      </c>
      <c r="B35" s="89" t="s">
        <v>116</v>
      </c>
      <c r="C35" s="89"/>
      <c r="D35" s="89"/>
      <c r="E35" s="89"/>
      <c r="F35" s="89"/>
      <c r="G35" s="89"/>
      <c r="H35" s="89"/>
      <c r="I35" s="89"/>
      <c r="J35" s="89" t="s">
        <v>53</v>
      </c>
      <c r="K35" s="106" t="s">
        <v>126</v>
      </c>
      <c r="L35" s="106"/>
      <c r="M35" s="106"/>
      <c r="N35" s="106"/>
      <c r="O35" s="106"/>
      <c r="P35" s="106"/>
      <c r="Q35" s="106"/>
      <c r="R35" s="106"/>
    </row>
    <row r="36" spans="1:18" ht="24">
      <c r="A36" s="89" t="s">
        <v>59</v>
      </c>
      <c r="B36" s="142" t="s">
        <v>113</v>
      </c>
      <c r="C36" s="142"/>
      <c r="D36" s="142"/>
      <c r="E36" s="142"/>
      <c r="F36" s="142"/>
      <c r="G36" s="91"/>
      <c r="H36" s="89"/>
      <c r="I36" s="89"/>
      <c r="J36" s="89" t="s">
        <v>72</v>
      </c>
      <c r="K36" s="106" t="s">
        <v>127</v>
      </c>
      <c r="L36" s="106"/>
      <c r="M36" s="106"/>
      <c r="N36" s="106"/>
      <c r="O36" s="106"/>
      <c r="P36" s="106"/>
      <c r="Q36" s="106"/>
      <c r="R36" s="106"/>
    </row>
    <row r="37" spans="1:18" ht="24">
      <c r="A37" s="89" t="s">
        <v>69</v>
      </c>
      <c r="B37" s="89" t="s">
        <v>114</v>
      </c>
      <c r="C37" s="89"/>
      <c r="D37" s="89"/>
      <c r="E37" s="89"/>
      <c r="F37" s="89"/>
      <c r="G37" s="89"/>
      <c r="H37" s="89"/>
      <c r="I37" s="89"/>
      <c r="J37" s="89" t="s">
        <v>71</v>
      </c>
      <c r="K37" s="106" t="s">
        <v>128</v>
      </c>
      <c r="L37" s="106"/>
      <c r="M37" s="106"/>
      <c r="N37" s="106"/>
      <c r="O37" s="106"/>
      <c r="P37" s="106"/>
      <c r="Q37" s="106"/>
      <c r="R37" s="106"/>
    </row>
    <row r="38" spans="1:18" ht="24">
      <c r="A38" s="89" t="s">
        <v>82</v>
      </c>
      <c r="B38" s="89" t="s">
        <v>77</v>
      </c>
      <c r="C38" s="89"/>
      <c r="D38" s="89"/>
      <c r="E38" s="89"/>
      <c r="F38" s="89"/>
      <c r="G38" s="89"/>
      <c r="H38" s="89"/>
      <c r="I38" s="89"/>
      <c r="J38" s="107" t="s">
        <v>53</v>
      </c>
      <c r="K38" s="106" t="s">
        <v>126</v>
      </c>
      <c r="L38" s="106"/>
      <c r="M38" s="106"/>
      <c r="N38" s="106"/>
      <c r="O38" s="106"/>
      <c r="P38" s="106"/>
      <c r="Q38" s="106"/>
      <c r="R38" s="106"/>
    </row>
    <row r="39" spans="1:18" ht="24">
      <c r="A39" s="89" t="s">
        <v>80</v>
      </c>
      <c r="B39" s="142" t="s">
        <v>115</v>
      </c>
      <c r="C39" s="142"/>
      <c r="D39" s="142"/>
      <c r="E39" s="142"/>
      <c r="F39" s="142"/>
      <c r="G39" s="89"/>
      <c r="H39" s="89"/>
      <c r="I39" s="89"/>
      <c r="J39" s="107" t="s">
        <v>92</v>
      </c>
      <c r="K39" s="106" t="s">
        <v>129</v>
      </c>
      <c r="L39" s="106"/>
      <c r="M39" s="106"/>
      <c r="N39" s="106"/>
      <c r="O39" s="106"/>
      <c r="P39" s="106"/>
      <c r="Q39" s="106"/>
      <c r="R39" s="106"/>
    </row>
    <row r="40" spans="1:18" ht="23">
      <c r="A40" s="106" t="s">
        <v>22</v>
      </c>
      <c r="B40" s="106" t="s">
        <v>22</v>
      </c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</row>
    <row r="41" spans="1:18" ht="23">
      <c r="A41" s="106" t="s">
        <v>22</v>
      </c>
      <c r="B41" s="106"/>
      <c r="C41" s="106"/>
      <c r="D41" s="106"/>
      <c r="E41" s="106"/>
      <c r="F41" s="106"/>
      <c r="G41" s="106"/>
      <c r="H41" s="106"/>
      <c r="J41" s="106"/>
      <c r="K41" s="106"/>
      <c r="L41" s="106"/>
      <c r="M41" s="106"/>
      <c r="N41" s="106"/>
      <c r="O41" s="106"/>
    </row>
    <row r="42" spans="1:18" ht="23">
      <c r="A42" s="106"/>
      <c r="B42" s="106"/>
      <c r="C42" s="106"/>
      <c r="D42" s="106"/>
      <c r="E42" s="106"/>
      <c r="F42" s="106"/>
      <c r="G42" s="106"/>
      <c r="H42" s="106"/>
      <c r="J42" s="106"/>
      <c r="K42" s="106"/>
      <c r="L42" s="106"/>
      <c r="M42" s="106"/>
      <c r="N42" s="106"/>
      <c r="O42" s="106"/>
    </row>
    <row r="43" spans="1:18" ht="23">
      <c r="J43" s="106"/>
      <c r="K43" s="106"/>
      <c r="L43" s="106"/>
      <c r="M43" s="106"/>
      <c r="N43" s="106"/>
      <c r="O43" s="106"/>
    </row>
    <row r="44" spans="1:18" ht="23">
      <c r="J44" s="106"/>
      <c r="K44" s="106"/>
      <c r="L44" s="106"/>
      <c r="M44" s="106"/>
      <c r="N44" s="106"/>
      <c r="O44" s="106"/>
    </row>
    <row r="45" spans="1:18" ht="23">
      <c r="J45" s="106"/>
      <c r="K45" s="106"/>
      <c r="L45" s="106"/>
      <c r="M45" s="106"/>
      <c r="N45" s="106"/>
      <c r="O45" s="106"/>
    </row>
  </sheetData>
  <mergeCells count="28">
    <mergeCell ref="B36:F36"/>
    <mergeCell ref="B39:F39"/>
    <mergeCell ref="A6:A7"/>
    <mergeCell ref="B6:B7"/>
    <mergeCell ref="C6:C7"/>
    <mergeCell ref="D6:D7"/>
    <mergeCell ref="E6:E7"/>
    <mergeCell ref="B27:F27"/>
    <mergeCell ref="B24:F24"/>
    <mergeCell ref="B12:F12"/>
    <mergeCell ref="B21:F21"/>
    <mergeCell ref="A3:A4"/>
    <mergeCell ref="L3:L4"/>
    <mergeCell ref="M3:M4"/>
    <mergeCell ref="N3:N4"/>
    <mergeCell ref="O3:O4"/>
    <mergeCell ref="P3:P4"/>
    <mergeCell ref="Q3:V4"/>
    <mergeCell ref="B1:C1"/>
    <mergeCell ref="BT1:BU1"/>
    <mergeCell ref="D2:E2"/>
    <mergeCell ref="N1:O1"/>
    <mergeCell ref="T2:U2"/>
    <mergeCell ref="BS2:BS3"/>
    <mergeCell ref="BT2:BU2"/>
    <mergeCell ref="W3:W4"/>
    <mergeCell ref="BT3:BU3"/>
    <mergeCell ref="F2:M2"/>
  </mergeCells>
  <hyperlinks>
    <hyperlink ref="A1" location="A1" display="Zurück"/>
    <hyperlink ref="Y1" location="A1" display="Zurück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Blatt1</vt:lpstr>
    </vt:vector>
  </TitlesOfParts>
  <Company>FUCHSIUS multi-media GmbH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Dieter Fuchsius</dc:creator>
  <cp:lastModifiedBy>Dieter Fuchsius</cp:lastModifiedBy>
  <dcterms:created xsi:type="dcterms:W3CDTF">2024-08-26T12:15:53Z</dcterms:created>
  <dcterms:modified xsi:type="dcterms:W3CDTF">2026-10-01T17:05:46Z</dcterms:modified>
</cp:coreProperties>
</file>